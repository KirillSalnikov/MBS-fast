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D1" i="1"/>
  <c r="E1" i="1"/>
  <c r="U110" i="1"/>
  <c r="J110" i="1"/>
  <c r="H110" i="1"/>
  <c r="G110" i="1"/>
  <c r="E110" i="1"/>
  <c r="D110" i="1"/>
  <c r="U109" i="1"/>
  <c r="J109" i="1"/>
  <c r="H109" i="1"/>
  <c r="G109" i="1"/>
  <c r="E109" i="1"/>
  <c r="D109" i="1"/>
  <c r="U108" i="1"/>
  <c r="J108" i="1"/>
  <c r="H108" i="1"/>
  <c r="G108" i="1"/>
  <c r="E108" i="1"/>
  <c r="D108" i="1"/>
  <c r="U107" i="1"/>
  <c r="J107" i="1"/>
  <c r="H107" i="1"/>
  <c r="G107" i="1"/>
  <c r="E107" i="1"/>
  <c r="D107" i="1"/>
  <c r="U106" i="1"/>
  <c r="J106" i="1"/>
  <c r="H106" i="1"/>
  <c r="G106" i="1"/>
  <c r="E106" i="1"/>
  <c r="D106" i="1"/>
  <c r="U105" i="1"/>
  <c r="J105" i="1"/>
  <c r="H105" i="1"/>
  <c r="G105" i="1"/>
  <c r="E105" i="1"/>
  <c r="D105" i="1"/>
  <c r="U104" i="1"/>
  <c r="J104" i="1"/>
  <c r="H104" i="1"/>
  <c r="G104" i="1"/>
  <c r="E104" i="1"/>
  <c r="D104" i="1"/>
  <c r="U103" i="1"/>
  <c r="J103" i="1"/>
  <c r="H103" i="1"/>
  <c r="G103" i="1"/>
  <c r="E103" i="1"/>
  <c r="D103" i="1"/>
  <c r="U102" i="1"/>
  <c r="J102" i="1"/>
  <c r="H102" i="1"/>
  <c r="G102" i="1"/>
  <c r="E102" i="1"/>
  <c r="D102" i="1"/>
  <c r="U101" i="1"/>
  <c r="J101" i="1"/>
  <c r="H101" i="1"/>
  <c r="G101" i="1"/>
  <c r="E101" i="1"/>
  <c r="D101" i="1"/>
  <c r="U100" i="1"/>
  <c r="J100" i="1"/>
  <c r="H100" i="1"/>
  <c r="G100" i="1"/>
  <c r="E100" i="1"/>
  <c r="D100" i="1"/>
  <c r="U99" i="1"/>
  <c r="J99" i="1"/>
  <c r="H99" i="1"/>
  <c r="G99" i="1"/>
  <c r="E99" i="1"/>
  <c r="D99" i="1"/>
  <c r="U98" i="1"/>
  <c r="J98" i="1"/>
  <c r="H98" i="1"/>
  <c r="G98" i="1"/>
  <c r="E98" i="1"/>
  <c r="D98" i="1"/>
  <c r="U97" i="1"/>
  <c r="J97" i="1"/>
  <c r="H97" i="1"/>
  <c r="G97" i="1"/>
  <c r="E97" i="1"/>
  <c r="D97" i="1"/>
  <c r="U96" i="1"/>
  <c r="J96" i="1"/>
  <c r="H96" i="1"/>
  <c r="G96" i="1"/>
  <c r="E96" i="1"/>
  <c r="D96" i="1"/>
  <c r="U95" i="1"/>
  <c r="J95" i="1"/>
  <c r="H95" i="1"/>
  <c r="G95" i="1"/>
  <c r="E95" i="1"/>
  <c r="D95" i="1"/>
  <c r="U94" i="1"/>
  <c r="J94" i="1"/>
  <c r="H94" i="1"/>
  <c r="G94" i="1"/>
  <c r="E94" i="1"/>
  <c r="D94" i="1"/>
  <c r="U93" i="1"/>
  <c r="J93" i="1"/>
  <c r="H93" i="1"/>
  <c r="G93" i="1"/>
  <c r="E93" i="1"/>
  <c r="D93" i="1"/>
  <c r="U92" i="1"/>
  <c r="J92" i="1"/>
  <c r="H92" i="1"/>
  <c r="G92" i="1"/>
  <c r="E92" i="1"/>
  <c r="D92" i="1"/>
  <c r="U91" i="1"/>
  <c r="J91" i="1"/>
  <c r="H91" i="1"/>
  <c r="G91" i="1"/>
  <c r="E91" i="1"/>
  <c r="D91" i="1"/>
  <c r="U90" i="1"/>
  <c r="J90" i="1"/>
  <c r="H90" i="1"/>
  <c r="G90" i="1"/>
  <c r="E90" i="1"/>
  <c r="D90" i="1"/>
  <c r="U89" i="1"/>
  <c r="J89" i="1"/>
  <c r="H89" i="1"/>
  <c r="G89" i="1"/>
  <c r="E89" i="1"/>
  <c r="D89" i="1"/>
  <c r="U88" i="1"/>
  <c r="J88" i="1"/>
  <c r="H88" i="1"/>
  <c r="G88" i="1"/>
  <c r="E88" i="1"/>
  <c r="D88" i="1"/>
  <c r="U87" i="1"/>
  <c r="J87" i="1"/>
  <c r="H87" i="1"/>
  <c r="G87" i="1"/>
  <c r="E87" i="1"/>
  <c r="D87" i="1"/>
  <c r="U86" i="1"/>
  <c r="J86" i="1"/>
  <c r="H86" i="1"/>
  <c r="G86" i="1"/>
  <c r="E86" i="1"/>
  <c r="D86" i="1"/>
  <c r="U85" i="1"/>
  <c r="J85" i="1"/>
  <c r="H85" i="1"/>
  <c r="G85" i="1"/>
  <c r="E85" i="1"/>
  <c r="D85" i="1"/>
  <c r="U84" i="1"/>
  <c r="J84" i="1"/>
  <c r="H84" i="1"/>
  <c r="G84" i="1"/>
  <c r="E84" i="1"/>
  <c r="D84" i="1"/>
  <c r="U83" i="1"/>
  <c r="J83" i="1"/>
  <c r="H83" i="1"/>
  <c r="G83" i="1"/>
  <c r="E83" i="1"/>
  <c r="D83" i="1"/>
  <c r="U82" i="1"/>
  <c r="J82" i="1"/>
  <c r="H82" i="1"/>
  <c r="G82" i="1"/>
  <c r="E82" i="1"/>
  <c r="D82" i="1"/>
  <c r="U81" i="1"/>
  <c r="J81" i="1"/>
  <c r="H81" i="1"/>
  <c r="G81" i="1"/>
  <c r="E81" i="1"/>
  <c r="D81" i="1"/>
  <c r="U80" i="1"/>
  <c r="J80" i="1"/>
  <c r="H80" i="1"/>
  <c r="G80" i="1"/>
  <c r="E80" i="1"/>
  <c r="D80" i="1"/>
  <c r="U79" i="1"/>
  <c r="J79" i="1"/>
  <c r="H79" i="1"/>
  <c r="G79" i="1"/>
  <c r="E79" i="1"/>
  <c r="D79" i="1"/>
  <c r="U78" i="1"/>
  <c r="J78" i="1"/>
  <c r="H78" i="1"/>
  <c r="G78" i="1"/>
  <c r="E78" i="1"/>
  <c r="D78" i="1"/>
  <c r="U77" i="1"/>
  <c r="J77" i="1"/>
  <c r="H77" i="1"/>
  <c r="G77" i="1"/>
  <c r="E77" i="1"/>
  <c r="D77" i="1"/>
  <c r="U76" i="1"/>
  <c r="J76" i="1"/>
  <c r="H76" i="1"/>
  <c r="G76" i="1"/>
  <c r="E76" i="1"/>
  <c r="D76" i="1"/>
  <c r="U75" i="1"/>
  <c r="J75" i="1"/>
  <c r="H75" i="1"/>
  <c r="G75" i="1"/>
  <c r="E75" i="1"/>
  <c r="D75" i="1"/>
  <c r="U74" i="1"/>
  <c r="J74" i="1"/>
  <c r="H74" i="1"/>
  <c r="G74" i="1"/>
  <c r="E74" i="1"/>
  <c r="D74" i="1"/>
  <c r="U73" i="1"/>
  <c r="J73" i="1"/>
  <c r="H73" i="1"/>
  <c r="G73" i="1"/>
  <c r="E73" i="1"/>
  <c r="D73" i="1"/>
  <c r="U72" i="1"/>
  <c r="J72" i="1"/>
  <c r="H72" i="1"/>
  <c r="G72" i="1"/>
  <c r="E72" i="1"/>
  <c r="D72" i="1"/>
  <c r="U71" i="1"/>
  <c r="J71" i="1"/>
  <c r="H71" i="1"/>
  <c r="G71" i="1"/>
  <c r="E71" i="1"/>
  <c r="D71" i="1"/>
  <c r="U70" i="1"/>
  <c r="J70" i="1"/>
  <c r="H70" i="1"/>
  <c r="G70" i="1"/>
  <c r="E70" i="1"/>
  <c r="D70" i="1"/>
  <c r="U69" i="1"/>
  <c r="J69" i="1"/>
  <c r="H69" i="1"/>
  <c r="G69" i="1"/>
  <c r="E69" i="1"/>
  <c r="D69" i="1"/>
  <c r="U68" i="1"/>
  <c r="J68" i="1"/>
  <c r="H68" i="1"/>
  <c r="G68" i="1"/>
  <c r="E68" i="1"/>
  <c r="D68" i="1"/>
  <c r="U67" i="1"/>
  <c r="J67" i="1"/>
  <c r="H67" i="1"/>
  <c r="G67" i="1"/>
  <c r="E67" i="1"/>
  <c r="D67" i="1"/>
  <c r="U66" i="1"/>
  <c r="J66" i="1"/>
  <c r="H66" i="1"/>
  <c r="G66" i="1"/>
  <c r="E66" i="1"/>
  <c r="D66" i="1"/>
  <c r="U65" i="1"/>
  <c r="J65" i="1"/>
  <c r="H65" i="1"/>
  <c r="G65" i="1"/>
  <c r="E65" i="1"/>
  <c r="D65" i="1"/>
  <c r="U64" i="1"/>
  <c r="J64" i="1"/>
  <c r="H64" i="1"/>
  <c r="G64" i="1"/>
  <c r="E64" i="1"/>
  <c r="D64" i="1"/>
  <c r="U63" i="1"/>
  <c r="J63" i="1"/>
  <c r="H63" i="1"/>
  <c r="G63" i="1"/>
  <c r="E63" i="1"/>
  <c r="D63" i="1"/>
  <c r="U62" i="1"/>
  <c r="J62" i="1"/>
  <c r="H62" i="1"/>
  <c r="G62" i="1"/>
  <c r="E62" i="1"/>
  <c r="D62" i="1"/>
  <c r="U61" i="1"/>
  <c r="J61" i="1"/>
  <c r="H61" i="1"/>
  <c r="G61" i="1"/>
  <c r="E61" i="1"/>
  <c r="D61" i="1"/>
  <c r="U60" i="1"/>
  <c r="J60" i="1"/>
  <c r="H60" i="1"/>
  <c r="G60" i="1"/>
  <c r="E60" i="1"/>
  <c r="D60" i="1"/>
  <c r="U59" i="1"/>
  <c r="J59" i="1"/>
  <c r="H59" i="1"/>
  <c r="G59" i="1"/>
  <c r="E59" i="1"/>
  <c r="D59" i="1"/>
  <c r="U58" i="1"/>
  <c r="J58" i="1"/>
  <c r="H58" i="1"/>
  <c r="G58" i="1"/>
  <c r="E58" i="1"/>
  <c r="D58" i="1"/>
  <c r="U57" i="1"/>
  <c r="J57" i="1"/>
  <c r="H57" i="1"/>
  <c r="G57" i="1"/>
  <c r="E57" i="1"/>
  <c r="D57" i="1"/>
  <c r="U56" i="1"/>
  <c r="J56" i="1"/>
  <c r="H56" i="1"/>
  <c r="G56" i="1"/>
  <c r="E56" i="1"/>
  <c r="D56" i="1"/>
  <c r="U55" i="1"/>
  <c r="J55" i="1"/>
  <c r="H55" i="1"/>
  <c r="G55" i="1"/>
  <c r="E55" i="1"/>
  <c r="D55" i="1"/>
  <c r="U54" i="1"/>
  <c r="J54" i="1"/>
  <c r="H54" i="1"/>
  <c r="G54" i="1"/>
  <c r="E54" i="1"/>
  <c r="D54" i="1"/>
  <c r="U53" i="1"/>
  <c r="J53" i="1"/>
  <c r="H53" i="1"/>
  <c r="G53" i="1"/>
  <c r="E53" i="1"/>
  <c r="D53" i="1"/>
  <c r="U49" i="1"/>
  <c r="J49" i="1"/>
  <c r="H49" i="1"/>
  <c r="G49" i="1"/>
  <c r="D49" i="1"/>
  <c r="U48" i="1"/>
  <c r="J48" i="1"/>
  <c r="H48" i="1"/>
  <c r="G48" i="1"/>
  <c r="D48" i="1"/>
  <c r="U47" i="1"/>
  <c r="J47" i="1"/>
  <c r="H47" i="1"/>
  <c r="G47" i="1"/>
  <c r="D47" i="1"/>
  <c r="U46" i="1"/>
  <c r="J46" i="1"/>
  <c r="H46" i="1"/>
  <c r="G46" i="1"/>
  <c r="D46" i="1"/>
  <c r="U45" i="1"/>
  <c r="J45" i="1"/>
  <c r="H45" i="1"/>
  <c r="G45" i="1"/>
  <c r="D45" i="1"/>
  <c r="U44" i="1"/>
  <c r="J44" i="1"/>
  <c r="H44" i="1"/>
  <c r="G44" i="1"/>
  <c r="D44" i="1"/>
  <c r="U43" i="1"/>
  <c r="J43" i="1"/>
  <c r="H43" i="1"/>
  <c r="G43" i="1"/>
  <c r="D43" i="1"/>
  <c r="U42" i="1"/>
  <c r="J42" i="1"/>
  <c r="H42" i="1"/>
  <c r="G42" i="1"/>
  <c r="D42" i="1"/>
  <c r="U41" i="1"/>
  <c r="J41" i="1"/>
  <c r="H41" i="1"/>
  <c r="G41" i="1"/>
  <c r="D41" i="1"/>
  <c r="U40" i="1"/>
  <c r="J40" i="1"/>
  <c r="H40" i="1"/>
  <c r="G40" i="1"/>
  <c r="D40" i="1"/>
  <c r="U39" i="1"/>
  <c r="J39" i="1"/>
  <c r="H39" i="1"/>
  <c r="G39" i="1"/>
  <c r="D39" i="1"/>
  <c r="U38" i="1"/>
  <c r="J38" i="1"/>
  <c r="H38" i="1"/>
  <c r="G38" i="1"/>
  <c r="D38" i="1"/>
  <c r="U37" i="1"/>
  <c r="J37" i="1"/>
  <c r="H37" i="1"/>
  <c r="G37" i="1"/>
  <c r="D37" i="1"/>
  <c r="U36" i="1"/>
  <c r="J36" i="1"/>
  <c r="H36" i="1"/>
  <c r="G36" i="1"/>
  <c r="D36" i="1"/>
  <c r="U35" i="1"/>
  <c r="J35" i="1"/>
  <c r="H35" i="1"/>
  <c r="G35" i="1"/>
  <c r="D35" i="1"/>
  <c r="U34" i="1"/>
  <c r="J34" i="1"/>
  <c r="H34" i="1"/>
  <c r="G34" i="1"/>
  <c r="D34" i="1"/>
  <c r="U33" i="1"/>
  <c r="J33" i="1"/>
  <c r="H33" i="1"/>
  <c r="G33" i="1"/>
  <c r="D33" i="1"/>
  <c r="U32" i="1"/>
  <c r="J32" i="1"/>
  <c r="H32" i="1"/>
  <c r="G32" i="1"/>
  <c r="D32" i="1"/>
  <c r="U31" i="1"/>
  <c r="J31" i="1"/>
  <c r="H31" i="1"/>
  <c r="G31" i="1"/>
  <c r="D31" i="1"/>
  <c r="U30" i="1"/>
  <c r="J30" i="1"/>
  <c r="H30" i="1"/>
  <c r="G30" i="1"/>
  <c r="D30" i="1"/>
  <c r="U29" i="1"/>
  <c r="J29" i="1"/>
  <c r="H29" i="1"/>
  <c r="G29" i="1"/>
  <c r="D29" i="1"/>
  <c r="U28" i="1"/>
  <c r="J28" i="1"/>
  <c r="H28" i="1"/>
  <c r="G28" i="1"/>
  <c r="D28" i="1"/>
  <c r="U27" i="1"/>
  <c r="J27" i="1"/>
  <c r="H27" i="1"/>
  <c r="G27" i="1"/>
  <c r="D27" i="1"/>
  <c r="U26" i="1"/>
  <c r="J26" i="1"/>
  <c r="H26" i="1"/>
  <c r="G26" i="1"/>
  <c r="D26" i="1"/>
  <c r="U25" i="1"/>
  <c r="J25" i="1"/>
  <c r="H25" i="1"/>
  <c r="G25" i="1"/>
  <c r="D25" i="1"/>
  <c r="U24" i="1"/>
  <c r="J24" i="1"/>
  <c r="H24" i="1"/>
  <c r="G24" i="1"/>
  <c r="D24" i="1"/>
  <c r="U23" i="1"/>
  <c r="J23" i="1"/>
  <c r="H23" i="1"/>
  <c r="G23" i="1"/>
  <c r="D23" i="1"/>
  <c r="U22" i="1"/>
  <c r="J22" i="1"/>
  <c r="H22" i="1"/>
  <c r="G22" i="1"/>
  <c r="D22" i="1"/>
  <c r="U21" i="1"/>
  <c r="J21" i="1"/>
  <c r="H21" i="1"/>
  <c r="G21" i="1"/>
  <c r="D21" i="1"/>
  <c r="U20" i="1"/>
  <c r="J20" i="1"/>
  <c r="H20" i="1"/>
  <c r="G20" i="1"/>
  <c r="D20" i="1"/>
  <c r="U19" i="1"/>
  <c r="J19" i="1"/>
  <c r="H19" i="1"/>
  <c r="G19" i="1"/>
  <c r="D19" i="1"/>
  <c r="U18" i="1"/>
  <c r="J18" i="1"/>
  <c r="H18" i="1"/>
  <c r="G18" i="1"/>
  <c r="D18" i="1"/>
  <c r="U17" i="1"/>
  <c r="J17" i="1"/>
  <c r="H17" i="1"/>
  <c r="G17" i="1"/>
  <c r="D17" i="1"/>
  <c r="U16" i="1"/>
  <c r="J16" i="1"/>
  <c r="H16" i="1"/>
  <c r="G16" i="1"/>
  <c r="D16" i="1"/>
  <c r="U15" i="1"/>
  <c r="J15" i="1"/>
  <c r="H15" i="1"/>
  <c r="G15" i="1"/>
  <c r="D15" i="1"/>
  <c r="U14" i="1"/>
  <c r="J14" i="1"/>
  <c r="H14" i="1"/>
  <c r="G14" i="1"/>
  <c r="D14" i="1"/>
  <c r="U13" i="1"/>
  <c r="J13" i="1"/>
  <c r="H13" i="1"/>
  <c r="G13" i="1"/>
  <c r="D13" i="1"/>
  <c r="U12" i="1"/>
  <c r="J12" i="1"/>
  <c r="H12" i="1"/>
  <c r="G12" i="1"/>
  <c r="D12" i="1"/>
  <c r="U11" i="1"/>
  <c r="J11" i="1"/>
  <c r="H11" i="1"/>
  <c r="G11" i="1"/>
  <c r="D11" i="1"/>
  <c r="U10" i="1"/>
  <c r="J10" i="1"/>
  <c r="H10" i="1"/>
  <c r="G10" i="1"/>
  <c r="D10" i="1"/>
  <c r="U9" i="1"/>
  <c r="J9" i="1"/>
  <c r="H9" i="1"/>
  <c r="G9" i="1"/>
  <c r="D9" i="1"/>
  <c r="U8" i="1"/>
  <c r="J8" i="1"/>
  <c r="H8" i="1"/>
  <c r="G8" i="1"/>
  <c r="D8" i="1"/>
  <c r="U7" i="1"/>
  <c r="J7" i="1"/>
  <c r="H7" i="1"/>
  <c r="G7" i="1"/>
  <c r="D7" i="1"/>
  <c r="U6" i="1"/>
  <c r="J6" i="1"/>
  <c r="H6" i="1"/>
  <c r="G6" i="1"/>
  <c r="D6" i="1"/>
  <c r="U5" i="1"/>
  <c r="J5" i="1"/>
  <c r="H5" i="1"/>
  <c r="G5" i="1"/>
  <c r="D5" i="1"/>
  <c r="U4" i="1"/>
  <c r="J4" i="1"/>
  <c r="H4" i="1"/>
  <c r="G4" i="1"/>
  <c r="D4" i="1"/>
  <c r="AB3" i="1"/>
  <c r="AB11" i="1" s="1"/>
  <c r="U3" i="1"/>
  <c r="J3" i="1"/>
  <c r="H3" i="1"/>
  <c r="G3" i="1"/>
  <c r="D3" i="1"/>
  <c r="U2" i="1"/>
  <c r="J2" i="1"/>
  <c r="H2" i="1"/>
  <c r="G2" i="1"/>
  <c r="D2" i="1"/>
  <c r="U1" i="1"/>
  <c r="J1" i="1"/>
  <c r="H1" i="1"/>
  <c r="G1" i="1"/>
  <c r="AC11" i="1" l="1"/>
  <c r="AE6" i="1"/>
  <c r="AB14" i="1"/>
  <c r="AE11" i="1"/>
  <c r="AB12" i="1"/>
  <c r="L9" i="1" l="1"/>
  <c r="L12" i="1"/>
  <c r="L8" i="1"/>
  <c r="L3" i="1"/>
  <c r="L18" i="1"/>
  <c r="L13" i="1"/>
  <c r="L2" i="1"/>
  <c r="L17" i="1"/>
  <c r="L6" i="1"/>
  <c r="L16" i="1"/>
  <c r="L14" i="1"/>
  <c r="L7" i="1"/>
  <c r="L1" i="1"/>
  <c r="L5" i="1"/>
  <c r="L11" i="1"/>
  <c r="L15" i="1"/>
  <c r="L10" i="1"/>
  <c r="L4" i="1"/>
  <c r="L105" i="1"/>
  <c r="L97" i="1"/>
  <c r="L89" i="1"/>
  <c r="L81" i="1"/>
  <c r="L73" i="1"/>
  <c r="L65" i="1"/>
  <c r="L57" i="1"/>
  <c r="L46" i="1"/>
  <c r="L38" i="1"/>
  <c r="L30" i="1"/>
  <c r="L22" i="1"/>
  <c r="AD11" i="1"/>
  <c r="AD14" i="1" s="1"/>
  <c r="L37" i="1"/>
  <c r="L21" i="1"/>
  <c r="L93" i="1"/>
  <c r="L68" i="1"/>
  <c r="L107" i="1"/>
  <c r="L91" i="1"/>
  <c r="L83" i="1"/>
  <c r="L59" i="1"/>
  <c r="L104" i="1"/>
  <c r="L96" i="1"/>
  <c r="L88" i="1"/>
  <c r="L80" i="1"/>
  <c r="L72" i="1"/>
  <c r="L64" i="1"/>
  <c r="L56" i="1"/>
  <c r="L45" i="1"/>
  <c r="L29" i="1"/>
  <c r="L101" i="1"/>
  <c r="L69" i="1"/>
  <c r="L61" i="1"/>
  <c r="L53" i="1"/>
  <c r="L26" i="1"/>
  <c r="L33" i="1"/>
  <c r="L99" i="1"/>
  <c r="L103" i="1"/>
  <c r="L95" i="1"/>
  <c r="L87" i="1"/>
  <c r="L79" i="1"/>
  <c r="L71" i="1"/>
  <c r="L63" i="1"/>
  <c r="L55" i="1"/>
  <c r="L44" i="1"/>
  <c r="L36" i="1"/>
  <c r="L28" i="1"/>
  <c r="L20" i="1"/>
  <c r="L77" i="1"/>
  <c r="L42" i="1"/>
  <c r="L34" i="1"/>
  <c r="L48" i="1"/>
  <c r="L110" i="1"/>
  <c r="L102" i="1"/>
  <c r="L94" i="1"/>
  <c r="L86" i="1"/>
  <c r="L78" i="1"/>
  <c r="L70" i="1"/>
  <c r="L62" i="1"/>
  <c r="L54" i="1"/>
  <c r="L43" i="1"/>
  <c r="L35" i="1"/>
  <c r="L27" i="1"/>
  <c r="L19" i="1"/>
  <c r="L109" i="1"/>
  <c r="L85" i="1"/>
  <c r="L41" i="1"/>
  <c r="L75" i="1"/>
  <c r="L108" i="1"/>
  <c r="L100" i="1"/>
  <c r="L92" i="1"/>
  <c r="L84" i="1"/>
  <c r="L76" i="1"/>
  <c r="L60" i="1"/>
  <c r="L49" i="1"/>
  <c r="L25" i="1"/>
  <c r="L67" i="1"/>
  <c r="L40" i="1"/>
  <c r="L32" i="1"/>
  <c r="AC14" i="1"/>
  <c r="L106" i="1"/>
  <c r="L98" i="1"/>
  <c r="L90" i="1"/>
  <c r="L82" i="1"/>
  <c r="L74" i="1"/>
  <c r="L66" i="1"/>
  <c r="L58" i="1"/>
  <c r="L47" i="1"/>
  <c r="L39" i="1"/>
  <c r="L31" i="1"/>
  <c r="L23" i="1"/>
  <c r="L24" i="1"/>
  <c r="AE12" i="1"/>
  <c r="AC12" i="1"/>
  <c r="AE7" i="1"/>
  <c r="M12" i="1" l="1"/>
  <c r="M8" i="1"/>
  <c r="X8" i="1" s="1"/>
  <c r="M3" i="1"/>
  <c r="M14" i="1"/>
  <c r="M7" i="1"/>
  <c r="X7" i="1" s="1"/>
  <c r="M16" i="1"/>
  <c r="M5" i="1"/>
  <c r="X5" i="1" s="1"/>
  <c r="M2" i="1"/>
  <c r="X2" i="1" s="1"/>
  <c r="M6" i="1"/>
  <c r="M1" i="1"/>
  <c r="M11" i="1"/>
  <c r="M18" i="1"/>
  <c r="M13" i="1"/>
  <c r="X13" i="1" s="1"/>
  <c r="M17" i="1"/>
  <c r="X17" i="1" s="1"/>
  <c r="M4" i="1"/>
  <c r="X4" i="1" s="1"/>
  <c r="M9" i="1"/>
  <c r="X9" i="1" s="1"/>
  <c r="M15" i="1"/>
  <c r="X15" i="1" s="1"/>
  <c r="M10" i="1"/>
  <c r="X1" i="1"/>
  <c r="X18" i="1"/>
  <c r="X3" i="1"/>
  <c r="X14" i="1"/>
  <c r="M104" i="1"/>
  <c r="X104" i="1" s="1"/>
  <c r="M96" i="1"/>
  <c r="X96" i="1" s="1"/>
  <c r="M88" i="1"/>
  <c r="X88" i="1" s="1"/>
  <c r="M80" i="1"/>
  <c r="X80" i="1" s="1"/>
  <c r="M72" i="1"/>
  <c r="X72" i="1" s="1"/>
  <c r="M64" i="1"/>
  <c r="X64" i="1" s="1"/>
  <c r="M56" i="1"/>
  <c r="X56" i="1" s="1"/>
  <c r="M45" i="1"/>
  <c r="X45" i="1" s="1"/>
  <c r="M37" i="1"/>
  <c r="X37" i="1" s="1"/>
  <c r="M29" i="1"/>
  <c r="X29" i="1" s="1"/>
  <c r="M21" i="1"/>
  <c r="X21" i="1" s="1"/>
  <c r="M44" i="1"/>
  <c r="X44" i="1" s="1"/>
  <c r="M28" i="1"/>
  <c r="X28" i="1" s="1"/>
  <c r="M49" i="1"/>
  <c r="X49" i="1" s="1"/>
  <c r="M33" i="1"/>
  <c r="X33" i="1" s="1"/>
  <c r="M74" i="1"/>
  <c r="X74" i="1" s="1"/>
  <c r="M39" i="1"/>
  <c r="M103" i="1"/>
  <c r="X103" i="1" s="1"/>
  <c r="M95" i="1"/>
  <c r="M87" i="1"/>
  <c r="X87" i="1" s="1"/>
  <c r="M79" i="1"/>
  <c r="X79" i="1" s="1"/>
  <c r="M71" i="1"/>
  <c r="X71" i="1" s="1"/>
  <c r="M63" i="1"/>
  <c r="X63" i="1" s="1"/>
  <c r="M55" i="1"/>
  <c r="X55" i="1" s="1"/>
  <c r="M36" i="1"/>
  <c r="X36" i="1" s="1"/>
  <c r="M20" i="1"/>
  <c r="X20" i="1" s="1"/>
  <c r="M24" i="1"/>
  <c r="X24" i="1" s="1"/>
  <c r="M110" i="1"/>
  <c r="X110" i="1" s="1"/>
  <c r="M102" i="1"/>
  <c r="X102" i="1" s="1"/>
  <c r="M94" i="1"/>
  <c r="X94" i="1" s="1"/>
  <c r="M86" i="1"/>
  <c r="X86" i="1" s="1"/>
  <c r="M78" i="1"/>
  <c r="X78" i="1" s="1"/>
  <c r="M70" i="1"/>
  <c r="X70" i="1" s="1"/>
  <c r="M62" i="1"/>
  <c r="X62" i="1" s="1"/>
  <c r="M54" i="1"/>
  <c r="X54" i="1" s="1"/>
  <c r="M43" i="1"/>
  <c r="X43" i="1" s="1"/>
  <c r="M35" i="1"/>
  <c r="X35" i="1" s="1"/>
  <c r="M27" i="1"/>
  <c r="X27" i="1" s="1"/>
  <c r="M19" i="1"/>
  <c r="X19" i="1" s="1"/>
  <c r="M100" i="1"/>
  <c r="X100" i="1" s="1"/>
  <c r="M84" i="1"/>
  <c r="M40" i="1"/>
  <c r="X40" i="1" s="1"/>
  <c r="M32" i="1"/>
  <c r="M98" i="1"/>
  <c r="X98" i="1" s="1"/>
  <c r="M66" i="1"/>
  <c r="M109" i="1"/>
  <c r="X109" i="1" s="1"/>
  <c r="M101" i="1"/>
  <c r="X101" i="1" s="1"/>
  <c r="M93" i="1"/>
  <c r="X93" i="1" s="1"/>
  <c r="M85" i="1"/>
  <c r="X85" i="1" s="1"/>
  <c r="M77" i="1"/>
  <c r="X77" i="1" s="1"/>
  <c r="M69" i="1"/>
  <c r="X69" i="1" s="1"/>
  <c r="M61" i="1"/>
  <c r="X61" i="1" s="1"/>
  <c r="M53" i="1"/>
  <c r="X53" i="1" s="1"/>
  <c r="M42" i="1"/>
  <c r="X42" i="1" s="1"/>
  <c r="M34" i="1"/>
  <c r="X34" i="1" s="1"/>
  <c r="M26" i="1"/>
  <c r="X26" i="1" s="1"/>
  <c r="AD12" i="1"/>
  <c r="M108" i="1"/>
  <c r="X108" i="1" s="1"/>
  <c r="M92" i="1"/>
  <c r="X92" i="1" s="1"/>
  <c r="M76" i="1"/>
  <c r="X76" i="1" s="1"/>
  <c r="M68" i="1"/>
  <c r="M60" i="1"/>
  <c r="X60" i="1" s="1"/>
  <c r="M41" i="1"/>
  <c r="X41" i="1" s="1"/>
  <c r="M25" i="1"/>
  <c r="X25" i="1" s="1"/>
  <c r="M48" i="1"/>
  <c r="X48" i="1" s="1"/>
  <c r="M90" i="1"/>
  <c r="X90" i="1" s="1"/>
  <c r="M82" i="1"/>
  <c r="X82" i="1" s="1"/>
  <c r="M47" i="1"/>
  <c r="X47" i="1" s="1"/>
  <c r="M107" i="1"/>
  <c r="X107" i="1" s="1"/>
  <c r="M99" i="1"/>
  <c r="X99" i="1" s="1"/>
  <c r="M91" i="1"/>
  <c r="X91" i="1" s="1"/>
  <c r="M83" i="1"/>
  <c r="X83" i="1" s="1"/>
  <c r="M75" i="1"/>
  <c r="X75" i="1" s="1"/>
  <c r="M67" i="1"/>
  <c r="X67" i="1" s="1"/>
  <c r="M59" i="1"/>
  <c r="X59" i="1" s="1"/>
  <c r="M106" i="1"/>
  <c r="X106" i="1" s="1"/>
  <c r="M58" i="1"/>
  <c r="X58" i="1" s="1"/>
  <c r="M23" i="1"/>
  <c r="X23" i="1" s="1"/>
  <c r="M105" i="1"/>
  <c r="X105" i="1" s="1"/>
  <c r="M97" i="1"/>
  <c r="X97" i="1" s="1"/>
  <c r="M89" i="1"/>
  <c r="X89" i="1" s="1"/>
  <c r="M81" i="1"/>
  <c r="X81" i="1" s="1"/>
  <c r="M73" i="1"/>
  <c r="X73" i="1" s="1"/>
  <c r="M65" i="1"/>
  <c r="X65" i="1" s="1"/>
  <c r="M57" i="1"/>
  <c r="X57" i="1" s="1"/>
  <c r="M46" i="1"/>
  <c r="X46" i="1" s="1"/>
  <c r="M38" i="1"/>
  <c r="X38" i="1" s="1"/>
  <c r="M30" i="1"/>
  <c r="X30" i="1" s="1"/>
  <c r="M22" i="1"/>
  <c r="X22" i="1" s="1"/>
  <c r="M31" i="1"/>
  <c r="X31" i="1" s="1"/>
  <c r="X11" i="1"/>
  <c r="X39" i="1"/>
  <c r="X68" i="1"/>
  <c r="X16" i="1"/>
  <c r="X12" i="1"/>
  <c r="X32" i="1"/>
  <c r="X95" i="1"/>
  <c r="X66" i="1"/>
  <c r="X84" i="1"/>
  <c r="X10" i="1"/>
  <c r="X6" i="1"/>
</calcChain>
</file>

<file path=xl/sharedStrings.xml><?xml version="1.0" encoding="utf-8"?>
<sst xmlns="http://schemas.openxmlformats.org/spreadsheetml/2006/main" count="1248" uniqueCount="29">
  <si>
    <t>mbs_ang_0_v5</t>
  </si>
  <si>
    <t>-p</t>
  </si>
  <si>
    <t>--ri</t>
  </si>
  <si>
    <t>-n</t>
  </si>
  <si>
    <t>--random</t>
  </si>
  <si>
    <t>--po</t>
  </si>
  <si>
    <t>--grid</t>
  </si>
  <si>
    <t>-w</t>
  </si>
  <si>
    <t>--all</t>
  </si>
  <si>
    <t>-o</t>
  </si>
  <si>
    <t>--close</t>
  </si>
  <si>
    <t>lm</t>
  </si>
  <si>
    <t>--abs</t>
  </si>
  <si>
    <t>Dmax</t>
  </si>
  <si>
    <t>ksi</t>
  </si>
  <si>
    <t>N</t>
  </si>
  <si>
    <t>число точек на кольцо</t>
  </si>
  <si>
    <t>Beta_range</t>
  </si>
  <si>
    <t>dbeta</t>
  </si>
  <si>
    <t>GammaMax</t>
  </si>
  <si>
    <t>dgamma</t>
  </si>
  <si>
    <t>lm/2</t>
  </si>
  <si>
    <t>lm/4</t>
  </si>
  <si>
    <t>lm/8</t>
  </si>
  <si>
    <t>Nb</t>
  </si>
  <si>
    <t>Ng</t>
  </si>
  <si>
    <t>n</t>
  </si>
  <si>
    <t>k</t>
  </si>
  <si>
    <t>Волна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</si>
</sst>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Fill="1" applyBorder="1"/>
    <xf numFmtId="0" fontId="2" fillId="3" borderId="1" xfId="2" applyNumberFormat="1" applyFont="1" applyFill="1" applyBorder="1"/>
    <xf numFmtId="164" fontId="2" fillId="0" borderId="1" xfId="2" applyNumberFormat="1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2" fontId="0" fillId="2" borderId="1" xfId="0" applyNumberFormat="1" applyFill="1" applyBorder="1"/>
    <xf numFmtId="0" fontId="0" fillId="0" borderId="1" xfId="0" applyBorder="1"/>
    <xf numFmtId="49" fontId="0" fillId="0" borderId="1" xfId="0" applyNumberFormat="1" applyFill="1" applyBorder="1"/>
    <xf numFmtId="0" fontId="0" fillId="9" borderId="1" xfId="0" applyFill="1" applyBorder="1"/>
    <xf numFmtId="0" fontId="3" fillId="10" borderId="1" xfId="0" applyFont="1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0" borderId="1" xfId="0" applyNumberFormat="1" applyFill="1" applyBorder="1"/>
    <xf numFmtId="0" fontId="0" fillId="0" borderId="1" xfId="1" applyNumberFormat="1" applyFont="1" applyFill="1" applyBorder="1"/>
    <xf numFmtId="49" fontId="0" fillId="0" borderId="0" xfId="0" applyNumberFormat="1"/>
    <xf numFmtId="164" fontId="0" fillId="0" borderId="0" xfId="0" applyNumberFormat="1"/>
  </cellXfs>
  <cellStyles count="3">
    <cellStyle name="Обычный" xfId="0" builtinId="0"/>
    <cellStyle name="Обычный_Кэвити" xfId="2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0"/>
  <sheetViews>
    <sheetView tabSelected="1" topLeftCell="I1" workbookViewId="0">
      <selection activeCell="Z1" sqref="Z1"/>
    </sheetView>
  </sheetViews>
  <sheetFormatPr defaultRowHeight="15" x14ac:dyDescent="0.25"/>
  <cols>
    <col min="1" max="1" width="14.42578125" customWidth="1"/>
    <col min="2" max="2" width="3.85546875" customWidth="1"/>
    <col min="3" max="3" width="3.5703125" customWidth="1"/>
    <col min="4" max="4" width="9.28515625" customWidth="1"/>
    <col min="5" max="5" width="6.5703125" style="22" customWidth="1"/>
    <col min="6" max="6" width="4.28515625" customWidth="1"/>
    <col min="8" max="8" width="13.85546875" customWidth="1"/>
    <col min="9" max="9" width="3.85546875" customWidth="1"/>
    <col min="10" max="10" width="4" customWidth="1"/>
    <col min="12" max="12" width="6.85546875" customWidth="1"/>
    <col min="13" max="13" width="7.140625" customWidth="1"/>
    <col min="14" max="14" width="4.85546875" customWidth="1"/>
    <col min="15" max="15" width="5.85546875" customWidth="1"/>
    <col min="18" max="18" width="5.42578125" customWidth="1"/>
    <col min="19" max="19" width="4.85546875" customWidth="1"/>
    <col min="20" max="20" width="3.42578125" customWidth="1"/>
    <col min="21" max="21" width="7" customWidth="1"/>
    <col min="22" max="22" width="5.140625" customWidth="1"/>
    <col min="23" max="23" width="3.7109375" customWidth="1"/>
    <col min="24" max="24" width="72.85546875" customWidth="1"/>
    <col min="25" max="26" width="7.140625" customWidth="1"/>
    <col min="28" max="28" width="14.5703125" customWidth="1"/>
    <col min="33" max="33" width="12" bestFit="1" customWidth="1"/>
    <col min="34" max="34" width="7.140625" style="21" customWidth="1"/>
  </cols>
  <sheetData>
    <row r="1" spans="1:34" x14ac:dyDescent="0.25">
      <c r="A1" s="1" t="s">
        <v>0</v>
      </c>
      <c r="B1" s="1" t="s">
        <v>1</v>
      </c>
      <c r="C1" s="2">
        <v>1</v>
      </c>
      <c r="D1" s="3">
        <f t="shared" ref="D1:D49" si="0">$AB$2</f>
        <v>1000</v>
      </c>
      <c r="E1" s="4">
        <f>6.96*($D$1^0.5)</f>
        <v>220.0945251477192</v>
      </c>
      <c r="F1" s="2" t="s">
        <v>2</v>
      </c>
      <c r="G1" s="5">
        <f>$AB$16</f>
        <v>1.3116000000000001</v>
      </c>
      <c r="H1" s="6">
        <f>$AB$17</f>
        <v>0</v>
      </c>
      <c r="I1" s="2" t="s">
        <v>3</v>
      </c>
      <c r="J1" s="7">
        <f>$AB$15</f>
        <v>8</v>
      </c>
      <c r="K1" s="2" t="s">
        <v>4</v>
      </c>
      <c r="L1" s="8">
        <f>ODD($AE$11)</f>
        <v>1605</v>
      </c>
      <c r="M1" s="8">
        <f>ODD($AE$12)</f>
        <v>1071</v>
      </c>
      <c r="N1" s="2" t="s">
        <v>5</v>
      </c>
      <c r="O1" s="2" t="s">
        <v>6</v>
      </c>
      <c r="P1" s="2">
        <v>0</v>
      </c>
      <c r="Q1" s="2">
        <v>0.5</v>
      </c>
      <c r="R1" s="1">
        <v>360</v>
      </c>
      <c r="S1" s="2">
        <v>30</v>
      </c>
      <c r="T1" s="2" t="s">
        <v>7</v>
      </c>
      <c r="U1" s="9">
        <f>$AB$1</f>
        <v>0.53200000000000003</v>
      </c>
      <c r="V1" s="2" t="s">
        <v>8</v>
      </c>
      <c r="W1" s="2" t="s">
        <v>9</v>
      </c>
      <c r="X1" s="10" t="str">
        <f>CONCATENATE("Column_div8_","L",ROUNDDOWN(D1,3),"_","N",J1,"_","b",L1,"_","g",M1,"_","fi_",R1,"_","lmd",U1,"_","T",P1,"_",Q1,"_",A1)</f>
        <v>Column_div8_L1000_N8_b1605_g1071_fi_360_lmd0.532_T0_0.5_mbs_ang_0_v5</v>
      </c>
      <c r="Y1" s="2" t="s">
        <v>10</v>
      </c>
      <c r="Z1" s="2"/>
      <c r="AA1" s="11" t="s">
        <v>11</v>
      </c>
      <c r="AB1" s="9">
        <v>0.53200000000000003</v>
      </c>
      <c r="AC1" s="11"/>
      <c r="AD1" s="11"/>
      <c r="AE1" s="11"/>
      <c r="AH1" s="12" t="s">
        <v>12</v>
      </c>
    </row>
    <row r="2" spans="1:34" x14ac:dyDescent="0.25">
      <c r="A2" s="1" t="s">
        <v>0</v>
      </c>
      <c r="B2" s="1" t="s">
        <v>1</v>
      </c>
      <c r="C2" s="2">
        <v>1</v>
      </c>
      <c r="D2" s="3">
        <f t="shared" si="0"/>
        <v>1000</v>
      </c>
      <c r="E2" s="4">
        <f t="shared" ref="E2:E49" si="1">6.96*($D$1^0.5)</f>
        <v>220.0945251477192</v>
      </c>
      <c r="F2" s="2" t="s">
        <v>2</v>
      </c>
      <c r="G2" s="5">
        <f t="shared" ref="G2:G49" si="2">$AB$16</f>
        <v>1.3116000000000001</v>
      </c>
      <c r="H2" s="6">
        <f t="shared" ref="H2:H49" si="3">$AB$17</f>
        <v>0</v>
      </c>
      <c r="I2" s="2" t="s">
        <v>3</v>
      </c>
      <c r="J2" s="7">
        <f t="shared" ref="J2:J18" si="4">$AB$15</f>
        <v>8</v>
      </c>
      <c r="K2" s="2" t="s">
        <v>4</v>
      </c>
      <c r="L2" s="8">
        <f t="shared" ref="L2:L18" si="5">ODD($AE$11)</f>
        <v>1605</v>
      </c>
      <c r="M2" s="8">
        <f t="shared" ref="M2:M18" si="6">ODD($AE$12)</f>
        <v>1071</v>
      </c>
      <c r="N2" s="2" t="s">
        <v>5</v>
      </c>
      <c r="O2" s="2" t="s">
        <v>6</v>
      </c>
      <c r="P2" s="2">
        <v>0.5</v>
      </c>
      <c r="Q2" s="2">
        <v>1</v>
      </c>
      <c r="R2" s="1">
        <v>360</v>
      </c>
      <c r="S2" s="2">
        <v>30</v>
      </c>
      <c r="T2" s="2" t="s">
        <v>7</v>
      </c>
      <c r="U2" s="9">
        <f t="shared" ref="U2:U49" si="7">$AB$1</f>
        <v>0.53200000000000003</v>
      </c>
      <c r="V2" s="2" t="s">
        <v>8</v>
      </c>
      <c r="W2" s="2" t="s">
        <v>9</v>
      </c>
      <c r="X2" s="10" t="str">
        <f t="shared" ref="X2:X18" si="8">CONCATENATE("Column_div8_","L",ROUNDDOWN(D2,3),"_","N",J2,"_","b",L2,"_","g",M2,"_","fi_",R2,"_","lmd",U2,"_","T",P2,"_",Q2,"_",A2)</f>
        <v>Column_div8_L1000_N8_b1605_g1071_fi_360_lmd0.532_T0.5_1_mbs_ang_0_v5</v>
      </c>
      <c r="Y2" s="2" t="s">
        <v>10</v>
      </c>
      <c r="Z2" s="2"/>
      <c r="AA2" s="11" t="s">
        <v>13</v>
      </c>
      <c r="AB2">
        <v>1000</v>
      </c>
      <c r="AC2" s="11"/>
      <c r="AD2" s="11"/>
      <c r="AE2" s="11"/>
      <c r="AH2" s="12" t="s">
        <v>12</v>
      </c>
    </row>
    <row r="3" spans="1:34" x14ac:dyDescent="0.25">
      <c r="A3" s="1" t="s">
        <v>0</v>
      </c>
      <c r="B3" s="1" t="s">
        <v>1</v>
      </c>
      <c r="C3" s="2">
        <v>1</v>
      </c>
      <c r="D3" s="3">
        <f t="shared" si="0"/>
        <v>1000</v>
      </c>
      <c r="E3" s="4">
        <f t="shared" si="1"/>
        <v>220.0945251477192</v>
      </c>
      <c r="F3" s="2" t="s">
        <v>2</v>
      </c>
      <c r="G3" s="5">
        <f t="shared" si="2"/>
        <v>1.3116000000000001</v>
      </c>
      <c r="H3" s="6">
        <f t="shared" si="3"/>
        <v>0</v>
      </c>
      <c r="I3" s="2" t="s">
        <v>3</v>
      </c>
      <c r="J3" s="7">
        <f t="shared" si="4"/>
        <v>8</v>
      </c>
      <c r="K3" s="2" t="s">
        <v>4</v>
      </c>
      <c r="L3" s="8">
        <f t="shared" si="5"/>
        <v>1605</v>
      </c>
      <c r="M3" s="8">
        <f t="shared" si="6"/>
        <v>1071</v>
      </c>
      <c r="N3" s="2" t="s">
        <v>5</v>
      </c>
      <c r="O3" s="2" t="s">
        <v>6</v>
      </c>
      <c r="P3" s="2">
        <v>1</v>
      </c>
      <c r="Q3" s="2">
        <v>1.5</v>
      </c>
      <c r="R3" s="1">
        <v>360</v>
      </c>
      <c r="S3" s="2">
        <v>30</v>
      </c>
      <c r="T3" s="2" t="s">
        <v>7</v>
      </c>
      <c r="U3" s="9">
        <f t="shared" si="7"/>
        <v>0.53200000000000003</v>
      </c>
      <c r="V3" s="2" t="s">
        <v>8</v>
      </c>
      <c r="W3" s="2" t="s">
        <v>9</v>
      </c>
      <c r="X3" s="10" t="str">
        <f t="shared" si="8"/>
        <v>Column_div8_L1000_N8_b1605_g1071_fi_360_lmd0.532_T1_1.5_mbs_ang_0_v5</v>
      </c>
      <c r="Y3" s="2" t="s">
        <v>10</v>
      </c>
      <c r="Z3" s="2"/>
      <c r="AA3" s="11" t="s">
        <v>14</v>
      </c>
      <c r="AB3" s="11">
        <f>0.69*$AB$1/$AB$2*180/PI()</f>
        <v>2.1032134743662261E-2</v>
      </c>
      <c r="AC3" s="11"/>
      <c r="AD3" s="11"/>
      <c r="AE3" s="11"/>
      <c r="AH3" s="12" t="s">
        <v>12</v>
      </c>
    </row>
    <row r="4" spans="1:34" x14ac:dyDescent="0.25">
      <c r="A4" s="1" t="s">
        <v>0</v>
      </c>
      <c r="B4" s="1" t="s">
        <v>1</v>
      </c>
      <c r="C4" s="2">
        <v>1</v>
      </c>
      <c r="D4" s="3">
        <f t="shared" si="0"/>
        <v>1000</v>
      </c>
      <c r="E4" s="4">
        <f t="shared" si="1"/>
        <v>220.0945251477192</v>
      </c>
      <c r="F4" s="2" t="s">
        <v>2</v>
      </c>
      <c r="G4" s="5">
        <f t="shared" si="2"/>
        <v>1.3116000000000001</v>
      </c>
      <c r="H4" s="6">
        <f t="shared" si="3"/>
        <v>0</v>
      </c>
      <c r="I4" s="2" t="s">
        <v>3</v>
      </c>
      <c r="J4" s="7">
        <f t="shared" si="4"/>
        <v>8</v>
      </c>
      <c r="K4" s="2" t="s">
        <v>4</v>
      </c>
      <c r="L4" s="8">
        <f t="shared" si="5"/>
        <v>1605</v>
      </c>
      <c r="M4" s="8">
        <f t="shared" si="6"/>
        <v>1071</v>
      </c>
      <c r="N4" s="2" t="s">
        <v>5</v>
      </c>
      <c r="O4" s="2" t="s">
        <v>6</v>
      </c>
      <c r="P4" s="2">
        <v>1.5</v>
      </c>
      <c r="Q4" s="2">
        <v>2</v>
      </c>
      <c r="R4" s="1">
        <v>360</v>
      </c>
      <c r="S4" s="2">
        <v>10</v>
      </c>
      <c r="T4" s="2" t="s">
        <v>7</v>
      </c>
      <c r="U4" s="9">
        <f t="shared" si="7"/>
        <v>0.53200000000000003</v>
      </c>
      <c r="V4" s="2" t="s">
        <v>8</v>
      </c>
      <c r="W4" s="2" t="s">
        <v>9</v>
      </c>
      <c r="X4" s="10" t="str">
        <f t="shared" si="8"/>
        <v>Column_div8_L1000_N8_b1605_g1071_fi_360_lmd0.532_T1.5_2_mbs_ang_0_v5</v>
      </c>
      <c r="Y4" s="2" t="s">
        <v>10</v>
      </c>
      <c r="Z4" s="2"/>
      <c r="AA4" s="11" t="s">
        <v>15</v>
      </c>
      <c r="AB4" s="11">
        <v>3</v>
      </c>
      <c r="AC4" s="11" t="s">
        <v>16</v>
      </c>
      <c r="AD4" s="11"/>
      <c r="AE4" s="11"/>
      <c r="AH4" s="12" t="s">
        <v>12</v>
      </c>
    </row>
    <row r="5" spans="1:34" x14ac:dyDescent="0.25">
      <c r="A5" s="1" t="s">
        <v>0</v>
      </c>
      <c r="B5" s="1" t="s">
        <v>1</v>
      </c>
      <c r="C5" s="2">
        <v>1</v>
      </c>
      <c r="D5" s="3">
        <f t="shared" si="0"/>
        <v>1000</v>
      </c>
      <c r="E5" s="4">
        <f t="shared" si="1"/>
        <v>220.0945251477192</v>
      </c>
      <c r="F5" s="2" t="s">
        <v>2</v>
      </c>
      <c r="G5" s="5">
        <f t="shared" si="2"/>
        <v>1.3116000000000001</v>
      </c>
      <c r="H5" s="6">
        <f t="shared" si="3"/>
        <v>0</v>
      </c>
      <c r="I5" s="2" t="s">
        <v>3</v>
      </c>
      <c r="J5" s="7">
        <f t="shared" si="4"/>
        <v>8</v>
      </c>
      <c r="K5" s="2" t="s">
        <v>4</v>
      </c>
      <c r="L5" s="8">
        <f t="shared" si="5"/>
        <v>1605</v>
      </c>
      <c r="M5" s="8">
        <f t="shared" si="6"/>
        <v>1071</v>
      </c>
      <c r="N5" s="2" t="s">
        <v>5</v>
      </c>
      <c r="O5" s="2" t="s">
        <v>6</v>
      </c>
      <c r="P5" s="2">
        <v>2</v>
      </c>
      <c r="Q5" s="2">
        <v>2.5</v>
      </c>
      <c r="R5" s="1">
        <v>360</v>
      </c>
      <c r="S5" s="2">
        <v>10</v>
      </c>
      <c r="T5" s="2" t="s">
        <v>7</v>
      </c>
      <c r="U5" s="9">
        <f t="shared" si="7"/>
        <v>0.53200000000000003</v>
      </c>
      <c r="V5" s="2" t="s">
        <v>8</v>
      </c>
      <c r="W5" s="2" t="s">
        <v>9</v>
      </c>
      <c r="X5" s="10" t="str">
        <f t="shared" si="8"/>
        <v>Column_div8_L1000_N8_b1605_g1071_fi_360_lmd0.532_T2_2.5_mbs_ang_0_v5</v>
      </c>
      <c r="Y5" s="2" t="s">
        <v>10</v>
      </c>
      <c r="Z5" s="2"/>
      <c r="AA5" s="11"/>
      <c r="AB5" s="11"/>
      <c r="AC5" s="11"/>
      <c r="AD5" s="11"/>
      <c r="AE5" s="11"/>
      <c r="AH5" s="12" t="s">
        <v>12</v>
      </c>
    </row>
    <row r="6" spans="1:34" x14ac:dyDescent="0.25">
      <c r="A6" s="1" t="s">
        <v>0</v>
      </c>
      <c r="B6" s="1" t="s">
        <v>1</v>
      </c>
      <c r="C6" s="2">
        <v>1</v>
      </c>
      <c r="D6" s="3">
        <f t="shared" si="0"/>
        <v>1000</v>
      </c>
      <c r="E6" s="4">
        <f t="shared" si="1"/>
        <v>220.0945251477192</v>
      </c>
      <c r="F6" s="2" t="s">
        <v>2</v>
      </c>
      <c r="G6" s="5">
        <f t="shared" si="2"/>
        <v>1.3116000000000001</v>
      </c>
      <c r="H6" s="6">
        <f t="shared" si="3"/>
        <v>0</v>
      </c>
      <c r="I6" s="2" t="s">
        <v>3</v>
      </c>
      <c r="J6" s="7">
        <f t="shared" si="4"/>
        <v>8</v>
      </c>
      <c r="K6" s="2" t="s">
        <v>4</v>
      </c>
      <c r="L6" s="8">
        <f t="shared" si="5"/>
        <v>1605</v>
      </c>
      <c r="M6" s="8">
        <f t="shared" si="6"/>
        <v>1071</v>
      </c>
      <c r="N6" s="2" t="s">
        <v>5</v>
      </c>
      <c r="O6" s="2" t="s">
        <v>6</v>
      </c>
      <c r="P6" s="2">
        <v>2.5</v>
      </c>
      <c r="Q6" s="2">
        <v>3</v>
      </c>
      <c r="R6" s="1">
        <v>360</v>
      </c>
      <c r="S6" s="2">
        <v>10</v>
      </c>
      <c r="T6" s="2" t="s">
        <v>7</v>
      </c>
      <c r="U6" s="9">
        <f t="shared" si="7"/>
        <v>0.53200000000000003</v>
      </c>
      <c r="V6" s="2" t="s">
        <v>8</v>
      </c>
      <c r="W6" s="2" t="s">
        <v>9</v>
      </c>
      <c r="X6" s="10" t="str">
        <f t="shared" si="8"/>
        <v>Column_div8_L1000_N8_b1605_g1071_fi_360_lmd0.532_T2.5_3_mbs_ang_0_v5</v>
      </c>
      <c r="Y6" s="2" t="s">
        <v>10</v>
      </c>
      <c r="Z6" s="2"/>
      <c r="AA6" s="11" t="s">
        <v>17</v>
      </c>
      <c r="AB6" s="13">
        <v>90</v>
      </c>
      <c r="AC6" s="11"/>
      <c r="AD6" s="11" t="s">
        <v>18</v>
      </c>
      <c r="AE6" s="11">
        <f>2*AB6/AB11</f>
        <v>1.4021423162441508E-2</v>
      </c>
      <c r="AH6" s="12" t="s">
        <v>12</v>
      </c>
    </row>
    <row r="7" spans="1:34" x14ac:dyDescent="0.25">
      <c r="A7" s="1" t="s">
        <v>0</v>
      </c>
      <c r="B7" s="1" t="s">
        <v>1</v>
      </c>
      <c r="C7" s="2">
        <v>1</v>
      </c>
      <c r="D7" s="3">
        <f t="shared" si="0"/>
        <v>1000</v>
      </c>
      <c r="E7" s="4">
        <f t="shared" si="1"/>
        <v>220.0945251477192</v>
      </c>
      <c r="F7" s="2" t="s">
        <v>2</v>
      </c>
      <c r="G7" s="5">
        <f t="shared" si="2"/>
        <v>1.3116000000000001</v>
      </c>
      <c r="H7" s="6">
        <f t="shared" si="3"/>
        <v>0</v>
      </c>
      <c r="I7" s="2" t="s">
        <v>3</v>
      </c>
      <c r="J7" s="7">
        <f t="shared" si="4"/>
        <v>8</v>
      </c>
      <c r="K7" s="2" t="s">
        <v>4</v>
      </c>
      <c r="L7" s="8">
        <f t="shared" si="5"/>
        <v>1605</v>
      </c>
      <c r="M7" s="8">
        <f t="shared" si="6"/>
        <v>1071</v>
      </c>
      <c r="N7" s="2" t="s">
        <v>5</v>
      </c>
      <c r="O7" s="2" t="s">
        <v>6</v>
      </c>
      <c r="P7" s="2">
        <v>3</v>
      </c>
      <c r="Q7" s="2">
        <v>3.5</v>
      </c>
      <c r="R7" s="1">
        <v>360</v>
      </c>
      <c r="S7" s="2">
        <v>10</v>
      </c>
      <c r="T7" s="2" t="s">
        <v>7</v>
      </c>
      <c r="U7" s="9">
        <f t="shared" si="7"/>
        <v>0.53200000000000003</v>
      </c>
      <c r="V7" s="2" t="s">
        <v>8</v>
      </c>
      <c r="W7" s="2" t="s">
        <v>9</v>
      </c>
      <c r="X7" s="10" t="str">
        <f t="shared" si="8"/>
        <v>Column_div8_L1000_N8_b1605_g1071_fi_360_lmd0.532_T3_3.5_mbs_ang_0_v5</v>
      </c>
      <c r="Y7" s="2" t="s">
        <v>10</v>
      </c>
      <c r="Z7" s="2"/>
      <c r="AA7" s="11" t="s">
        <v>19</v>
      </c>
      <c r="AB7" s="13">
        <v>60</v>
      </c>
      <c r="AC7" s="11"/>
      <c r="AD7" s="11" t="s">
        <v>20</v>
      </c>
      <c r="AE7" s="11">
        <f>AB7/AB12</f>
        <v>7.0107115812207531E-3</v>
      </c>
      <c r="AH7" s="12" t="s">
        <v>12</v>
      </c>
    </row>
    <row r="8" spans="1:34" x14ac:dyDescent="0.25">
      <c r="A8" s="1" t="s">
        <v>0</v>
      </c>
      <c r="B8" s="1" t="s">
        <v>1</v>
      </c>
      <c r="C8" s="2">
        <v>1</v>
      </c>
      <c r="D8" s="3">
        <f t="shared" si="0"/>
        <v>1000</v>
      </c>
      <c r="E8" s="4">
        <f t="shared" si="1"/>
        <v>220.0945251477192</v>
      </c>
      <c r="F8" s="2" t="s">
        <v>2</v>
      </c>
      <c r="G8" s="5">
        <f t="shared" si="2"/>
        <v>1.3116000000000001</v>
      </c>
      <c r="H8" s="6">
        <f t="shared" si="3"/>
        <v>0</v>
      </c>
      <c r="I8" s="2" t="s">
        <v>3</v>
      </c>
      <c r="J8" s="7">
        <f t="shared" si="4"/>
        <v>8</v>
      </c>
      <c r="K8" s="2" t="s">
        <v>4</v>
      </c>
      <c r="L8" s="8">
        <f t="shared" si="5"/>
        <v>1605</v>
      </c>
      <c r="M8" s="8">
        <f t="shared" si="6"/>
        <v>1071</v>
      </c>
      <c r="N8" s="2" t="s">
        <v>5</v>
      </c>
      <c r="O8" s="2" t="s">
        <v>6</v>
      </c>
      <c r="P8" s="2">
        <v>3.5</v>
      </c>
      <c r="Q8" s="2">
        <v>4</v>
      </c>
      <c r="R8" s="1">
        <v>360</v>
      </c>
      <c r="S8" s="2">
        <v>10</v>
      </c>
      <c r="T8" s="2" t="s">
        <v>7</v>
      </c>
      <c r="U8" s="9">
        <f t="shared" si="7"/>
        <v>0.53200000000000003</v>
      </c>
      <c r="V8" s="2" t="s">
        <v>8</v>
      </c>
      <c r="W8" s="2" t="s">
        <v>9</v>
      </c>
      <c r="X8" s="10" t="str">
        <f t="shared" si="8"/>
        <v>Column_div8_L1000_N8_b1605_g1071_fi_360_lmd0.532_T3.5_4_mbs_ang_0_v5</v>
      </c>
      <c r="Y8" s="2" t="s">
        <v>10</v>
      </c>
      <c r="Z8" s="2"/>
      <c r="AA8" s="11"/>
      <c r="AB8" s="11"/>
      <c r="AC8" s="11"/>
      <c r="AD8" s="11"/>
      <c r="AE8" s="11"/>
      <c r="AH8" s="12" t="s">
        <v>12</v>
      </c>
    </row>
    <row r="9" spans="1:34" x14ac:dyDescent="0.25">
      <c r="A9" s="1" t="s">
        <v>0</v>
      </c>
      <c r="B9" s="1" t="s">
        <v>1</v>
      </c>
      <c r="C9" s="2">
        <v>1</v>
      </c>
      <c r="D9" s="3">
        <f t="shared" si="0"/>
        <v>1000</v>
      </c>
      <c r="E9" s="4">
        <f t="shared" si="1"/>
        <v>220.0945251477192</v>
      </c>
      <c r="F9" s="2" t="s">
        <v>2</v>
      </c>
      <c r="G9" s="5">
        <f t="shared" si="2"/>
        <v>1.3116000000000001</v>
      </c>
      <c r="H9" s="6">
        <f t="shared" si="3"/>
        <v>0</v>
      </c>
      <c r="I9" s="2" t="s">
        <v>3</v>
      </c>
      <c r="J9" s="7">
        <f t="shared" si="4"/>
        <v>8</v>
      </c>
      <c r="K9" s="2" t="s">
        <v>4</v>
      </c>
      <c r="L9" s="8">
        <f t="shared" si="5"/>
        <v>1605</v>
      </c>
      <c r="M9" s="8">
        <f t="shared" si="6"/>
        <v>1071</v>
      </c>
      <c r="N9" s="2" t="s">
        <v>5</v>
      </c>
      <c r="O9" s="2" t="s">
        <v>6</v>
      </c>
      <c r="P9" s="2">
        <v>4</v>
      </c>
      <c r="Q9" s="2">
        <v>4.5</v>
      </c>
      <c r="R9" s="1">
        <v>360</v>
      </c>
      <c r="S9" s="2">
        <v>10</v>
      </c>
      <c r="T9" s="2" t="s">
        <v>7</v>
      </c>
      <c r="U9" s="9">
        <f t="shared" si="7"/>
        <v>0.53200000000000003</v>
      </c>
      <c r="V9" s="2" t="s">
        <v>8</v>
      </c>
      <c r="W9" s="2" t="s">
        <v>9</v>
      </c>
      <c r="X9" s="10" t="str">
        <f t="shared" si="8"/>
        <v>Column_div8_L1000_N8_b1605_g1071_fi_360_lmd0.532_T4_4.5_mbs_ang_0_v5</v>
      </c>
      <c r="Y9" s="2" t="s">
        <v>10</v>
      </c>
      <c r="Z9" s="2"/>
      <c r="AA9" s="11"/>
      <c r="AB9" s="11"/>
      <c r="AC9" s="1"/>
      <c r="AD9" s="11"/>
      <c r="AE9" s="11"/>
      <c r="AH9" s="12" t="s">
        <v>12</v>
      </c>
    </row>
    <row r="10" spans="1:34" x14ac:dyDescent="0.25">
      <c r="A10" s="1" t="s">
        <v>0</v>
      </c>
      <c r="B10" s="1" t="s">
        <v>1</v>
      </c>
      <c r="C10" s="2">
        <v>1</v>
      </c>
      <c r="D10" s="3">
        <f t="shared" si="0"/>
        <v>1000</v>
      </c>
      <c r="E10" s="4">
        <f t="shared" si="1"/>
        <v>220.0945251477192</v>
      </c>
      <c r="F10" s="2" t="s">
        <v>2</v>
      </c>
      <c r="G10" s="5">
        <f t="shared" si="2"/>
        <v>1.3116000000000001</v>
      </c>
      <c r="H10" s="6">
        <f t="shared" si="3"/>
        <v>0</v>
      </c>
      <c r="I10" s="2" t="s">
        <v>3</v>
      </c>
      <c r="J10" s="7">
        <f t="shared" si="4"/>
        <v>8</v>
      </c>
      <c r="K10" s="2" t="s">
        <v>4</v>
      </c>
      <c r="L10" s="8">
        <f t="shared" si="5"/>
        <v>1605</v>
      </c>
      <c r="M10" s="8">
        <f t="shared" si="6"/>
        <v>1071</v>
      </c>
      <c r="N10" s="2" t="s">
        <v>5</v>
      </c>
      <c r="O10" s="2" t="s">
        <v>6</v>
      </c>
      <c r="P10" s="2">
        <v>4.5</v>
      </c>
      <c r="Q10" s="2">
        <v>7</v>
      </c>
      <c r="R10" s="1">
        <v>360</v>
      </c>
      <c r="S10" s="2">
        <v>10</v>
      </c>
      <c r="T10" s="2" t="s">
        <v>7</v>
      </c>
      <c r="U10" s="9">
        <f t="shared" si="7"/>
        <v>0.53200000000000003</v>
      </c>
      <c r="V10" s="2" t="s">
        <v>8</v>
      </c>
      <c r="W10" s="2" t="s">
        <v>9</v>
      </c>
      <c r="X10" s="10" t="str">
        <f t="shared" si="8"/>
        <v>Column_div8_L1000_N8_b1605_g1071_fi_360_lmd0.532_T4.5_7_mbs_ang_0_v5</v>
      </c>
      <c r="Y10" s="2" t="s">
        <v>10</v>
      </c>
      <c r="Z10" s="2"/>
      <c r="AA10" s="11"/>
      <c r="AB10" s="11" t="s">
        <v>11</v>
      </c>
      <c r="AC10" s="14" t="s">
        <v>21</v>
      </c>
      <c r="AD10" s="14" t="s">
        <v>22</v>
      </c>
      <c r="AE10" s="14" t="s">
        <v>23</v>
      </c>
      <c r="AH10" s="12" t="s">
        <v>12</v>
      </c>
    </row>
    <row r="11" spans="1:34" x14ac:dyDescent="0.25">
      <c r="A11" s="1" t="s">
        <v>0</v>
      </c>
      <c r="B11" s="1" t="s">
        <v>1</v>
      </c>
      <c r="C11" s="2">
        <v>1</v>
      </c>
      <c r="D11" s="3">
        <f t="shared" si="0"/>
        <v>1000</v>
      </c>
      <c r="E11" s="4">
        <f t="shared" si="1"/>
        <v>220.0945251477192</v>
      </c>
      <c r="F11" s="2" t="s">
        <v>2</v>
      </c>
      <c r="G11" s="5">
        <f t="shared" si="2"/>
        <v>1.3116000000000001</v>
      </c>
      <c r="H11" s="6">
        <f t="shared" si="3"/>
        <v>0</v>
      </c>
      <c r="I11" s="2" t="s">
        <v>3</v>
      </c>
      <c r="J11" s="7">
        <f t="shared" si="4"/>
        <v>8</v>
      </c>
      <c r="K11" s="2" t="s">
        <v>4</v>
      </c>
      <c r="L11" s="8">
        <f t="shared" si="5"/>
        <v>1605</v>
      </c>
      <c r="M11" s="8">
        <f t="shared" si="6"/>
        <v>1071</v>
      </c>
      <c r="N11" s="2" t="s">
        <v>5</v>
      </c>
      <c r="O11" s="2" t="s">
        <v>6</v>
      </c>
      <c r="P11" s="2">
        <v>7</v>
      </c>
      <c r="Q11" s="2">
        <v>9.5</v>
      </c>
      <c r="R11" s="1">
        <v>360</v>
      </c>
      <c r="S11" s="2">
        <v>10</v>
      </c>
      <c r="T11" s="2" t="s">
        <v>7</v>
      </c>
      <c r="U11" s="9">
        <f t="shared" si="7"/>
        <v>0.53200000000000003</v>
      </c>
      <c r="V11" s="2" t="s">
        <v>8</v>
      </c>
      <c r="W11" s="2" t="s">
        <v>9</v>
      </c>
      <c r="X11" s="10" t="str">
        <f t="shared" si="8"/>
        <v>Column_div8_L1000_N8_b1605_g1071_fi_360_lmd0.532_T7_9.5_mbs_ang_0_v5</v>
      </c>
      <c r="Y11" s="2" t="s">
        <v>10</v>
      </c>
      <c r="Z11" s="2"/>
      <c r="AA11" s="11" t="s">
        <v>24</v>
      </c>
      <c r="AB11" s="11">
        <f>$AB$6/($AB$3/$AB$4)</f>
        <v>12837.49858446303</v>
      </c>
      <c r="AC11" s="15">
        <f>AB11/2</f>
        <v>6418.749292231515</v>
      </c>
      <c r="AD11" s="16">
        <f>AC11/2</f>
        <v>3209.3746461157575</v>
      </c>
      <c r="AE11" s="8">
        <f>AB11/8</f>
        <v>1604.6873230578788</v>
      </c>
      <c r="AH11" s="12" t="s">
        <v>12</v>
      </c>
    </row>
    <row r="12" spans="1:34" x14ac:dyDescent="0.25">
      <c r="A12" s="1" t="s">
        <v>0</v>
      </c>
      <c r="B12" s="1" t="s">
        <v>1</v>
      </c>
      <c r="C12" s="2">
        <v>1</v>
      </c>
      <c r="D12" s="3">
        <f t="shared" si="0"/>
        <v>1000</v>
      </c>
      <c r="E12" s="4">
        <f t="shared" si="1"/>
        <v>220.0945251477192</v>
      </c>
      <c r="F12" s="2" t="s">
        <v>2</v>
      </c>
      <c r="G12" s="5">
        <f t="shared" si="2"/>
        <v>1.3116000000000001</v>
      </c>
      <c r="H12" s="6">
        <f t="shared" si="3"/>
        <v>0</v>
      </c>
      <c r="I12" s="2" t="s">
        <v>3</v>
      </c>
      <c r="J12" s="7">
        <f t="shared" si="4"/>
        <v>8</v>
      </c>
      <c r="K12" s="2" t="s">
        <v>4</v>
      </c>
      <c r="L12" s="8">
        <f t="shared" si="5"/>
        <v>1605</v>
      </c>
      <c r="M12" s="8">
        <f t="shared" si="6"/>
        <v>1071</v>
      </c>
      <c r="N12" s="2" t="s">
        <v>5</v>
      </c>
      <c r="O12" s="2" t="s">
        <v>6</v>
      </c>
      <c r="P12" s="2">
        <v>9.5</v>
      </c>
      <c r="Q12" s="2">
        <v>12</v>
      </c>
      <c r="R12" s="1">
        <v>360</v>
      </c>
      <c r="S12" s="2">
        <v>10</v>
      </c>
      <c r="T12" s="2" t="s">
        <v>7</v>
      </c>
      <c r="U12" s="9">
        <f t="shared" si="7"/>
        <v>0.53200000000000003</v>
      </c>
      <c r="V12" s="2" t="s">
        <v>8</v>
      </c>
      <c r="W12" s="2" t="s">
        <v>9</v>
      </c>
      <c r="X12" s="10" t="str">
        <f t="shared" si="8"/>
        <v>Column_div8_L1000_N8_b1605_g1071_fi_360_lmd0.532_T9.5_12_mbs_ang_0_v5</v>
      </c>
      <c r="Y12" s="2" t="s">
        <v>10</v>
      </c>
      <c r="Z12" s="2"/>
      <c r="AA12" s="11" t="s">
        <v>25</v>
      </c>
      <c r="AB12" s="11">
        <f>$AB$7/($AB$3/$AB$4)</f>
        <v>8558.3323896420206</v>
      </c>
      <c r="AC12" s="15">
        <f>AB12/2</f>
        <v>4279.1661948210103</v>
      </c>
      <c r="AD12" s="16">
        <f>AC12/2</f>
        <v>2139.5830974105052</v>
      </c>
      <c r="AE12" s="8">
        <f>AB12/8</f>
        <v>1069.7915487052526</v>
      </c>
      <c r="AH12" s="12" t="s">
        <v>12</v>
      </c>
    </row>
    <row r="13" spans="1:34" x14ac:dyDescent="0.25">
      <c r="A13" s="1" t="s">
        <v>0</v>
      </c>
      <c r="B13" s="1" t="s">
        <v>1</v>
      </c>
      <c r="C13" s="2">
        <v>1</v>
      </c>
      <c r="D13" s="3">
        <f t="shared" si="0"/>
        <v>1000</v>
      </c>
      <c r="E13" s="4">
        <f t="shared" si="1"/>
        <v>220.0945251477192</v>
      </c>
      <c r="F13" s="2" t="s">
        <v>2</v>
      </c>
      <c r="G13" s="5">
        <f t="shared" si="2"/>
        <v>1.3116000000000001</v>
      </c>
      <c r="H13" s="6">
        <f t="shared" si="3"/>
        <v>0</v>
      </c>
      <c r="I13" s="2" t="s">
        <v>3</v>
      </c>
      <c r="J13" s="7">
        <f t="shared" si="4"/>
        <v>8</v>
      </c>
      <c r="K13" s="2" t="s">
        <v>4</v>
      </c>
      <c r="L13" s="8">
        <f t="shared" si="5"/>
        <v>1605</v>
      </c>
      <c r="M13" s="8">
        <f t="shared" si="6"/>
        <v>1071</v>
      </c>
      <c r="N13" s="2" t="s">
        <v>5</v>
      </c>
      <c r="O13" s="2" t="s">
        <v>6</v>
      </c>
      <c r="P13" s="2">
        <v>12</v>
      </c>
      <c r="Q13" s="2">
        <v>14.5</v>
      </c>
      <c r="R13" s="1">
        <v>360</v>
      </c>
      <c r="S13" s="2">
        <v>10</v>
      </c>
      <c r="T13" s="2" t="s">
        <v>7</v>
      </c>
      <c r="U13" s="9">
        <f t="shared" si="7"/>
        <v>0.53200000000000003</v>
      </c>
      <c r="V13" s="2" t="s">
        <v>8</v>
      </c>
      <c r="W13" s="2" t="s">
        <v>9</v>
      </c>
      <c r="X13" s="10" t="str">
        <f t="shared" si="8"/>
        <v>Column_div8_L1000_N8_b1605_g1071_fi_360_lmd0.532_T12_14.5_mbs_ang_0_v5</v>
      </c>
      <c r="Y13" s="2" t="s">
        <v>10</v>
      </c>
      <c r="Z13" s="2"/>
      <c r="AA13" s="11"/>
      <c r="AB13" s="11"/>
      <c r="AC13" s="1"/>
      <c r="AD13" s="11"/>
      <c r="AE13" s="11"/>
      <c r="AH13" s="12" t="s">
        <v>12</v>
      </c>
    </row>
    <row r="14" spans="1:34" x14ac:dyDescent="0.25">
      <c r="A14" s="1" t="s">
        <v>0</v>
      </c>
      <c r="B14" s="1" t="s">
        <v>1</v>
      </c>
      <c r="C14" s="2">
        <v>1</v>
      </c>
      <c r="D14" s="3">
        <f t="shared" si="0"/>
        <v>1000</v>
      </c>
      <c r="E14" s="4">
        <f t="shared" si="1"/>
        <v>220.0945251477192</v>
      </c>
      <c r="F14" s="2" t="s">
        <v>2</v>
      </c>
      <c r="G14" s="5">
        <f t="shared" si="2"/>
        <v>1.3116000000000001</v>
      </c>
      <c r="H14" s="6">
        <f t="shared" si="3"/>
        <v>0</v>
      </c>
      <c r="I14" s="2" t="s">
        <v>3</v>
      </c>
      <c r="J14" s="7">
        <f t="shared" si="4"/>
        <v>8</v>
      </c>
      <c r="K14" s="2" t="s">
        <v>4</v>
      </c>
      <c r="L14" s="8">
        <f t="shared" si="5"/>
        <v>1605</v>
      </c>
      <c r="M14" s="8">
        <f t="shared" si="6"/>
        <v>1071</v>
      </c>
      <c r="N14" s="2" t="s">
        <v>5</v>
      </c>
      <c r="O14" s="2" t="s">
        <v>6</v>
      </c>
      <c r="P14" s="2">
        <v>14.5</v>
      </c>
      <c r="Q14" s="2">
        <v>17</v>
      </c>
      <c r="R14" s="1">
        <v>360</v>
      </c>
      <c r="S14" s="2">
        <v>10</v>
      </c>
      <c r="T14" s="2" t="s">
        <v>7</v>
      </c>
      <c r="U14" s="9">
        <f t="shared" si="7"/>
        <v>0.53200000000000003</v>
      </c>
      <c r="V14" s="2" t="s">
        <v>8</v>
      </c>
      <c r="W14" s="2" t="s">
        <v>9</v>
      </c>
      <c r="X14" s="10" t="str">
        <f t="shared" si="8"/>
        <v>Column_div8_L1000_N8_b1605_g1071_fi_360_lmd0.532_T14.5_17_mbs_ang_0_v5</v>
      </c>
      <c r="Y14" s="2" t="s">
        <v>10</v>
      </c>
      <c r="Z14" s="2"/>
      <c r="AA14" s="11" t="s">
        <v>18</v>
      </c>
      <c r="AB14" s="11">
        <f>$AB$6/AB11</f>
        <v>7.010711581220754E-3</v>
      </c>
      <c r="AC14" s="1">
        <f>$AB$6/AC11</f>
        <v>1.4021423162441508E-2</v>
      </c>
      <c r="AD14" s="11">
        <f>$AB$6/AD11</f>
        <v>2.8042846324883016E-2</v>
      </c>
      <c r="AE14" s="11"/>
      <c r="AH14" s="12" t="s">
        <v>12</v>
      </c>
    </row>
    <row r="15" spans="1:34" x14ac:dyDescent="0.25">
      <c r="A15" s="1" t="s">
        <v>0</v>
      </c>
      <c r="B15" s="1" t="s">
        <v>1</v>
      </c>
      <c r="C15" s="2">
        <v>1</v>
      </c>
      <c r="D15" s="3">
        <f t="shared" si="0"/>
        <v>1000</v>
      </c>
      <c r="E15" s="4">
        <f t="shared" si="1"/>
        <v>220.0945251477192</v>
      </c>
      <c r="F15" s="2" t="s">
        <v>2</v>
      </c>
      <c r="G15" s="5">
        <f t="shared" si="2"/>
        <v>1.3116000000000001</v>
      </c>
      <c r="H15" s="6">
        <f t="shared" si="3"/>
        <v>0</v>
      </c>
      <c r="I15" s="2" t="s">
        <v>3</v>
      </c>
      <c r="J15" s="7">
        <f t="shared" si="4"/>
        <v>8</v>
      </c>
      <c r="K15" s="2" t="s">
        <v>4</v>
      </c>
      <c r="L15" s="8">
        <f t="shared" si="5"/>
        <v>1605</v>
      </c>
      <c r="M15" s="8">
        <f t="shared" si="6"/>
        <v>1071</v>
      </c>
      <c r="N15" s="2" t="s">
        <v>5</v>
      </c>
      <c r="O15" s="2" t="s">
        <v>6</v>
      </c>
      <c r="P15" s="2">
        <v>17</v>
      </c>
      <c r="Q15" s="2">
        <v>19</v>
      </c>
      <c r="R15" s="1">
        <v>360</v>
      </c>
      <c r="S15" s="2">
        <v>10</v>
      </c>
      <c r="T15" s="2" t="s">
        <v>7</v>
      </c>
      <c r="U15" s="9">
        <f t="shared" si="7"/>
        <v>0.53200000000000003</v>
      </c>
      <c r="V15" s="2" t="s">
        <v>8</v>
      </c>
      <c r="W15" s="2" t="s">
        <v>9</v>
      </c>
      <c r="X15" s="10" t="str">
        <f t="shared" si="8"/>
        <v>Column_div8_L1000_N8_b1605_g1071_fi_360_lmd0.532_T17_19_mbs_ang_0_v5</v>
      </c>
      <c r="Y15" s="2" t="s">
        <v>10</v>
      </c>
      <c r="Z15" s="2"/>
      <c r="AA15" s="2" t="s">
        <v>15</v>
      </c>
      <c r="AB15" s="7">
        <v>8</v>
      </c>
      <c r="AC15" s="17">
        <v>14</v>
      </c>
      <c r="AD15" s="11"/>
      <c r="AE15" s="11"/>
      <c r="AH15" s="12" t="s">
        <v>12</v>
      </c>
    </row>
    <row r="16" spans="1:34" x14ac:dyDescent="0.25">
      <c r="A16" s="1" t="s">
        <v>0</v>
      </c>
      <c r="B16" s="1" t="s">
        <v>1</v>
      </c>
      <c r="C16" s="2">
        <v>1</v>
      </c>
      <c r="D16" s="3">
        <f t="shared" si="0"/>
        <v>1000</v>
      </c>
      <c r="E16" s="4">
        <f t="shared" si="1"/>
        <v>220.0945251477192</v>
      </c>
      <c r="F16" s="2" t="s">
        <v>2</v>
      </c>
      <c r="G16" s="5">
        <f t="shared" si="2"/>
        <v>1.3116000000000001</v>
      </c>
      <c r="H16" s="6">
        <f t="shared" si="3"/>
        <v>0</v>
      </c>
      <c r="I16" s="2" t="s">
        <v>3</v>
      </c>
      <c r="J16" s="7">
        <f t="shared" si="4"/>
        <v>8</v>
      </c>
      <c r="K16" s="2" t="s">
        <v>4</v>
      </c>
      <c r="L16" s="8">
        <f t="shared" si="5"/>
        <v>1605</v>
      </c>
      <c r="M16" s="8">
        <f t="shared" si="6"/>
        <v>1071</v>
      </c>
      <c r="N16" s="2" t="s">
        <v>5</v>
      </c>
      <c r="O16" s="2" t="s">
        <v>6</v>
      </c>
      <c r="P16" s="2">
        <v>19</v>
      </c>
      <c r="Q16" s="2">
        <v>21</v>
      </c>
      <c r="R16" s="1">
        <v>360</v>
      </c>
      <c r="S16" s="2">
        <v>10</v>
      </c>
      <c r="T16" s="2" t="s">
        <v>7</v>
      </c>
      <c r="U16" s="9">
        <f t="shared" si="7"/>
        <v>0.53200000000000003</v>
      </c>
      <c r="V16" s="2" t="s">
        <v>8</v>
      </c>
      <c r="W16" s="2" t="s">
        <v>9</v>
      </c>
      <c r="X16" s="10" t="str">
        <f t="shared" si="8"/>
        <v>Column_div8_L1000_N8_b1605_g1071_fi_360_lmd0.532_T19_21_mbs_ang_0_v5</v>
      </c>
      <c r="Y16" s="2" t="s">
        <v>10</v>
      </c>
      <c r="Z16" s="2"/>
      <c r="AA16" s="2" t="s">
        <v>26</v>
      </c>
      <c r="AB16">
        <v>1.3116000000000001</v>
      </c>
      <c r="AC16" s="11"/>
      <c r="AD16" s="11"/>
      <c r="AE16" s="11"/>
      <c r="AH16" s="12" t="s">
        <v>12</v>
      </c>
    </row>
    <row r="17" spans="1:34" x14ac:dyDescent="0.25">
      <c r="A17" s="1" t="s">
        <v>0</v>
      </c>
      <c r="B17" s="1" t="s">
        <v>1</v>
      </c>
      <c r="C17" s="2">
        <v>1</v>
      </c>
      <c r="D17" s="3">
        <f t="shared" si="0"/>
        <v>1000</v>
      </c>
      <c r="E17" s="4">
        <f t="shared" si="1"/>
        <v>220.0945251477192</v>
      </c>
      <c r="F17" s="2" t="s">
        <v>2</v>
      </c>
      <c r="G17" s="5">
        <f t="shared" si="2"/>
        <v>1.3116000000000001</v>
      </c>
      <c r="H17" s="6">
        <f t="shared" si="3"/>
        <v>0</v>
      </c>
      <c r="I17" s="2" t="s">
        <v>3</v>
      </c>
      <c r="J17" s="7">
        <f t="shared" si="4"/>
        <v>8</v>
      </c>
      <c r="K17" s="2" t="s">
        <v>4</v>
      </c>
      <c r="L17" s="8">
        <f t="shared" si="5"/>
        <v>1605</v>
      </c>
      <c r="M17" s="8">
        <f t="shared" si="6"/>
        <v>1071</v>
      </c>
      <c r="N17" s="2" t="s">
        <v>5</v>
      </c>
      <c r="O17" s="2" t="s">
        <v>6</v>
      </c>
      <c r="P17" s="2">
        <v>21</v>
      </c>
      <c r="Q17" s="2">
        <v>23</v>
      </c>
      <c r="R17" s="1">
        <v>360</v>
      </c>
      <c r="S17" s="2">
        <v>10</v>
      </c>
      <c r="T17" s="2" t="s">
        <v>7</v>
      </c>
      <c r="U17" s="9">
        <f t="shared" si="7"/>
        <v>0.53200000000000003</v>
      </c>
      <c r="V17" s="2" t="s">
        <v>8</v>
      </c>
      <c r="W17" s="2" t="s">
        <v>9</v>
      </c>
      <c r="X17" s="10" t="str">
        <f t="shared" si="8"/>
        <v>Column_div8_L1000_N8_b1605_g1071_fi_360_lmd0.532_T21_23_mbs_ang_0_v5</v>
      </c>
      <c r="Y17" s="2" t="s">
        <v>10</v>
      </c>
      <c r="Z17" s="2"/>
      <c r="AA17" s="2" t="s">
        <v>27</v>
      </c>
      <c r="AB17">
        <v>0</v>
      </c>
      <c r="AC17" s="11"/>
      <c r="AD17" s="11"/>
      <c r="AE17" s="11"/>
      <c r="AH17" s="12" t="s">
        <v>12</v>
      </c>
    </row>
    <row r="18" spans="1:34" x14ac:dyDescent="0.25">
      <c r="A18" s="1" t="s">
        <v>0</v>
      </c>
      <c r="B18" s="1" t="s">
        <v>1</v>
      </c>
      <c r="C18" s="2">
        <v>1</v>
      </c>
      <c r="D18" s="3">
        <f t="shared" si="0"/>
        <v>1000</v>
      </c>
      <c r="E18" s="4">
        <f t="shared" si="1"/>
        <v>220.0945251477192</v>
      </c>
      <c r="F18" s="2" t="s">
        <v>2</v>
      </c>
      <c r="G18" s="5">
        <f t="shared" si="2"/>
        <v>1.3116000000000001</v>
      </c>
      <c r="H18" s="6">
        <f t="shared" si="3"/>
        <v>0</v>
      </c>
      <c r="I18" s="2" t="s">
        <v>3</v>
      </c>
      <c r="J18" s="7">
        <f t="shared" si="4"/>
        <v>8</v>
      </c>
      <c r="K18" s="2" t="s">
        <v>4</v>
      </c>
      <c r="L18" s="8">
        <f t="shared" si="5"/>
        <v>1605</v>
      </c>
      <c r="M18" s="8">
        <f t="shared" si="6"/>
        <v>1071</v>
      </c>
      <c r="N18" s="2" t="s">
        <v>5</v>
      </c>
      <c r="O18" s="2" t="s">
        <v>6</v>
      </c>
      <c r="P18" s="2">
        <v>23</v>
      </c>
      <c r="Q18" s="2">
        <v>25</v>
      </c>
      <c r="R18" s="1">
        <v>360</v>
      </c>
      <c r="S18" s="2">
        <v>30</v>
      </c>
      <c r="T18" s="2" t="s">
        <v>7</v>
      </c>
      <c r="U18" s="9">
        <f t="shared" si="7"/>
        <v>0.53200000000000003</v>
      </c>
      <c r="V18" s="2" t="s">
        <v>8</v>
      </c>
      <c r="W18" s="2" t="s">
        <v>9</v>
      </c>
      <c r="X18" s="10" t="str">
        <f t="shared" si="8"/>
        <v>Column_div8_L1000_N8_b1605_g1071_fi_360_lmd0.532_T23_25_mbs_ang_0_v5</v>
      </c>
      <c r="Y18" s="2" t="s">
        <v>10</v>
      </c>
      <c r="Z18" s="2"/>
      <c r="AH18" s="12" t="s">
        <v>12</v>
      </c>
    </row>
    <row r="19" spans="1:34" x14ac:dyDescent="0.25">
      <c r="A19" s="1" t="s">
        <v>0</v>
      </c>
      <c r="B19" s="1" t="s">
        <v>1</v>
      </c>
      <c r="C19" s="2">
        <v>1</v>
      </c>
      <c r="D19" s="3">
        <f t="shared" si="0"/>
        <v>1000</v>
      </c>
      <c r="E19" s="4">
        <f t="shared" si="1"/>
        <v>220.0945251477192</v>
      </c>
      <c r="F19" s="2" t="s">
        <v>2</v>
      </c>
      <c r="G19" s="5">
        <f t="shared" si="2"/>
        <v>1.3116000000000001</v>
      </c>
      <c r="H19" s="6">
        <f t="shared" si="3"/>
        <v>0</v>
      </c>
      <c r="I19" s="2" t="s">
        <v>3</v>
      </c>
      <c r="J19" s="17">
        <f>$AC$15</f>
        <v>14</v>
      </c>
      <c r="K19" s="2" t="s">
        <v>4</v>
      </c>
      <c r="L19" s="15">
        <f>ODD($AC$11)</f>
        <v>6419</v>
      </c>
      <c r="M19" s="15">
        <f>ODD($AC$12)</f>
        <v>4281</v>
      </c>
      <c r="N19" s="2" t="s">
        <v>5</v>
      </c>
      <c r="O19" s="2" t="s">
        <v>6</v>
      </c>
      <c r="P19" s="2">
        <v>25</v>
      </c>
      <c r="Q19" s="2">
        <v>39.5</v>
      </c>
      <c r="R19" s="18">
        <v>600</v>
      </c>
      <c r="S19" s="2">
        <v>29</v>
      </c>
      <c r="T19" s="2" t="s">
        <v>7</v>
      </c>
      <c r="U19" s="9">
        <f t="shared" si="7"/>
        <v>0.53200000000000003</v>
      </c>
      <c r="V19" s="2" t="s">
        <v>8</v>
      </c>
      <c r="W19" s="2" t="s">
        <v>9</v>
      </c>
      <c r="X19" s="10" t="str">
        <f>CONCATENATE("Column_div2_","L",ROUNDDOWN(D19,3),"_","N",J19,"_","b",L19,"_","g",M19,"_","fi_",R19,"_","lmd",U19,"_","T",P19,"_",Q19,"_",A19)</f>
        <v>Column_div2_L1000_N14_b6419_g4281_fi_600_lmd0.532_T25_39.5_mbs_ang_0_v5</v>
      </c>
      <c r="Y19" s="2" t="s">
        <v>10</v>
      </c>
      <c r="Z19" s="2"/>
      <c r="AB19">
        <v>10</v>
      </c>
      <c r="AE19" t="s">
        <v>28</v>
      </c>
      <c r="AF19" t="s">
        <v>26</v>
      </c>
      <c r="AG19" t="s">
        <v>27</v>
      </c>
      <c r="AH19" s="12" t="s">
        <v>12</v>
      </c>
    </row>
    <row r="20" spans="1:34" x14ac:dyDescent="0.25">
      <c r="A20" s="1" t="s">
        <v>0</v>
      </c>
      <c r="B20" s="1" t="s">
        <v>1</v>
      </c>
      <c r="C20" s="2">
        <v>1</v>
      </c>
      <c r="D20" s="3">
        <f t="shared" si="0"/>
        <v>1000</v>
      </c>
      <c r="E20" s="4">
        <f t="shared" si="1"/>
        <v>220.0945251477192</v>
      </c>
      <c r="F20" s="2" t="s">
        <v>2</v>
      </c>
      <c r="G20" s="5">
        <f t="shared" si="2"/>
        <v>1.3116000000000001</v>
      </c>
      <c r="H20" s="6">
        <f t="shared" si="3"/>
        <v>0</v>
      </c>
      <c r="I20" s="2" t="s">
        <v>3</v>
      </c>
      <c r="J20" s="17">
        <f t="shared" ref="J20:J49" si="9">$AC$15</f>
        <v>14</v>
      </c>
      <c r="K20" s="2" t="s">
        <v>4</v>
      </c>
      <c r="L20" s="15">
        <f t="shared" ref="L20:L46" si="10">ODD($AC$11)</f>
        <v>6419</v>
      </c>
      <c r="M20" s="15">
        <f t="shared" ref="M20:M46" si="11">ODD($AC$12)</f>
        <v>4281</v>
      </c>
      <c r="N20" s="2" t="s">
        <v>5</v>
      </c>
      <c r="O20" s="2" t="s">
        <v>6</v>
      </c>
      <c r="P20" s="2">
        <v>39.5</v>
      </c>
      <c r="Q20" s="2">
        <v>54</v>
      </c>
      <c r="R20" s="18">
        <v>600</v>
      </c>
      <c r="S20" s="2">
        <v>29</v>
      </c>
      <c r="T20" s="2" t="s">
        <v>7</v>
      </c>
      <c r="U20" s="9">
        <f t="shared" si="7"/>
        <v>0.53200000000000003</v>
      </c>
      <c r="V20" s="2" t="s">
        <v>8</v>
      </c>
      <c r="W20" s="2" t="s">
        <v>9</v>
      </c>
      <c r="X20" s="10" t="str">
        <f t="shared" ref="X20:X49" si="12">CONCATENATE("Column_div2_","L",ROUNDDOWN(D20,3),"_","N",J20,"_","b",L20,"_","g",M20,"_","fi_",R20,"_","lmd",U20,"_","T",P20,"_",Q20,"_",A20)</f>
        <v>Column_div2_L1000_N14_b6419_g4281_fi_600_lmd0.532_T39.5_54_mbs_ang_0_v5</v>
      </c>
      <c r="Y20" s="2" t="s">
        <v>10</v>
      </c>
      <c r="Z20" s="2"/>
      <c r="AA20">
        <v>5</v>
      </c>
      <c r="AB20">
        <v>11.22</v>
      </c>
      <c r="AC20">
        <v>112.2</v>
      </c>
      <c r="AE20">
        <v>0.35499999999999998</v>
      </c>
      <c r="AF20">
        <v>1.3243</v>
      </c>
      <c r="AG20">
        <v>0</v>
      </c>
      <c r="AH20" s="12" t="s">
        <v>12</v>
      </c>
    </row>
    <row r="21" spans="1:34" x14ac:dyDescent="0.25">
      <c r="A21" s="1" t="s">
        <v>0</v>
      </c>
      <c r="B21" s="1" t="s">
        <v>1</v>
      </c>
      <c r="C21" s="2">
        <v>1</v>
      </c>
      <c r="D21" s="3">
        <f t="shared" si="0"/>
        <v>1000</v>
      </c>
      <c r="E21" s="4">
        <f t="shared" si="1"/>
        <v>220.0945251477192</v>
      </c>
      <c r="F21" s="2" t="s">
        <v>2</v>
      </c>
      <c r="G21" s="5">
        <f t="shared" si="2"/>
        <v>1.3116000000000001</v>
      </c>
      <c r="H21" s="6">
        <f t="shared" si="3"/>
        <v>0</v>
      </c>
      <c r="I21" s="2" t="s">
        <v>3</v>
      </c>
      <c r="J21" s="17">
        <f t="shared" si="9"/>
        <v>14</v>
      </c>
      <c r="K21" s="2" t="s">
        <v>4</v>
      </c>
      <c r="L21" s="15">
        <f t="shared" si="10"/>
        <v>6419</v>
      </c>
      <c r="M21" s="15">
        <f t="shared" si="11"/>
        <v>4281</v>
      </c>
      <c r="N21" s="2" t="s">
        <v>5</v>
      </c>
      <c r="O21" s="2" t="s">
        <v>6</v>
      </c>
      <c r="P21" s="2">
        <v>54</v>
      </c>
      <c r="Q21" s="2">
        <v>68.5</v>
      </c>
      <c r="R21" s="18">
        <v>600</v>
      </c>
      <c r="S21" s="2">
        <v>29</v>
      </c>
      <c r="T21" s="2" t="s">
        <v>7</v>
      </c>
      <c r="U21" s="9">
        <f t="shared" si="7"/>
        <v>0.53200000000000003</v>
      </c>
      <c r="V21" s="2" t="s">
        <v>8</v>
      </c>
      <c r="W21" s="2" t="s">
        <v>9</v>
      </c>
      <c r="X21" s="10" t="str">
        <f t="shared" si="12"/>
        <v>Column_div2_L1000_N14_b6419_g4281_fi_600_lmd0.532_T54_68.5_mbs_ang_0_v5</v>
      </c>
      <c r="Y21" s="2" t="s">
        <v>10</v>
      </c>
      <c r="Z21" s="2"/>
      <c r="AA21">
        <v>5.5</v>
      </c>
      <c r="AB21">
        <v>12.59</v>
      </c>
      <c r="AC21">
        <v>125.9</v>
      </c>
      <c r="AE21">
        <v>0.4</v>
      </c>
      <c r="AF21">
        <v>1.3193999999999999</v>
      </c>
      <c r="AG21">
        <v>0</v>
      </c>
      <c r="AH21" s="12" t="s">
        <v>12</v>
      </c>
    </row>
    <row r="22" spans="1:34" x14ac:dyDescent="0.25">
      <c r="A22" s="1" t="s">
        <v>0</v>
      </c>
      <c r="B22" s="1" t="s">
        <v>1</v>
      </c>
      <c r="C22" s="2">
        <v>1</v>
      </c>
      <c r="D22" s="3">
        <f t="shared" si="0"/>
        <v>1000</v>
      </c>
      <c r="E22" s="4">
        <f t="shared" si="1"/>
        <v>220.0945251477192</v>
      </c>
      <c r="F22" s="2" t="s">
        <v>2</v>
      </c>
      <c r="G22" s="5">
        <f t="shared" si="2"/>
        <v>1.3116000000000001</v>
      </c>
      <c r="H22" s="6">
        <f t="shared" si="3"/>
        <v>0</v>
      </c>
      <c r="I22" s="2" t="s">
        <v>3</v>
      </c>
      <c r="J22" s="17">
        <f t="shared" si="9"/>
        <v>14</v>
      </c>
      <c r="K22" s="2" t="s">
        <v>4</v>
      </c>
      <c r="L22" s="15">
        <f t="shared" si="10"/>
        <v>6419</v>
      </c>
      <c r="M22" s="15">
        <f t="shared" si="11"/>
        <v>4281</v>
      </c>
      <c r="N22" s="2" t="s">
        <v>5</v>
      </c>
      <c r="O22" s="2" t="s">
        <v>6</v>
      </c>
      <c r="P22" s="2">
        <v>68.5</v>
      </c>
      <c r="Q22" s="2">
        <v>83</v>
      </c>
      <c r="R22" s="18">
        <v>600</v>
      </c>
      <c r="S22" s="2">
        <v>29</v>
      </c>
      <c r="T22" s="2" t="s">
        <v>7</v>
      </c>
      <c r="U22" s="9">
        <f t="shared" si="7"/>
        <v>0.53200000000000003</v>
      </c>
      <c r="V22" s="2" t="s">
        <v>8</v>
      </c>
      <c r="W22" s="2" t="s">
        <v>9</v>
      </c>
      <c r="X22" s="10" t="str">
        <f t="shared" si="12"/>
        <v>Column_div2_L1000_N14_b6419_g4281_fi_600_lmd0.532_T68.5_83_mbs_ang_0_v5</v>
      </c>
      <c r="Y22" s="2" t="s">
        <v>10</v>
      </c>
      <c r="Z22" s="2"/>
      <c r="AA22">
        <v>6</v>
      </c>
      <c r="AB22">
        <v>14.13</v>
      </c>
      <c r="AC22">
        <v>141.30000000000001</v>
      </c>
      <c r="AE22">
        <v>0.53200000000000003</v>
      </c>
      <c r="AF22">
        <v>1.3116000000000001</v>
      </c>
      <c r="AG22">
        <v>0</v>
      </c>
      <c r="AH22" s="12" t="s">
        <v>12</v>
      </c>
    </row>
    <row r="23" spans="1:34" x14ac:dyDescent="0.25">
      <c r="A23" s="1" t="s">
        <v>0</v>
      </c>
      <c r="B23" s="1" t="s">
        <v>1</v>
      </c>
      <c r="C23" s="2">
        <v>1</v>
      </c>
      <c r="D23" s="3">
        <f t="shared" si="0"/>
        <v>1000</v>
      </c>
      <c r="E23" s="4">
        <f t="shared" si="1"/>
        <v>220.0945251477192</v>
      </c>
      <c r="F23" s="2" t="s">
        <v>2</v>
      </c>
      <c r="G23" s="5">
        <f t="shared" si="2"/>
        <v>1.3116000000000001</v>
      </c>
      <c r="H23" s="6">
        <f t="shared" si="3"/>
        <v>0</v>
      </c>
      <c r="I23" s="2" t="s">
        <v>3</v>
      </c>
      <c r="J23" s="17">
        <f t="shared" si="9"/>
        <v>14</v>
      </c>
      <c r="K23" s="2" t="s">
        <v>4</v>
      </c>
      <c r="L23" s="15">
        <f t="shared" si="10"/>
        <v>6419</v>
      </c>
      <c r="M23" s="15">
        <f t="shared" si="11"/>
        <v>4281</v>
      </c>
      <c r="N23" s="2" t="s">
        <v>5</v>
      </c>
      <c r="O23" s="2" t="s">
        <v>6</v>
      </c>
      <c r="P23" s="2">
        <v>83</v>
      </c>
      <c r="Q23" s="2">
        <v>97.5</v>
      </c>
      <c r="R23" s="18">
        <v>600</v>
      </c>
      <c r="S23" s="2">
        <v>29</v>
      </c>
      <c r="T23" s="2" t="s">
        <v>7</v>
      </c>
      <c r="U23" s="9">
        <f t="shared" si="7"/>
        <v>0.53200000000000003</v>
      </c>
      <c r="V23" s="2" t="s">
        <v>8</v>
      </c>
      <c r="W23" s="2" t="s">
        <v>9</v>
      </c>
      <c r="X23" s="10" t="str">
        <f t="shared" si="12"/>
        <v>Column_div2_L1000_N14_b6419_g4281_fi_600_lmd0.532_T83_97.5_mbs_ang_0_v5</v>
      </c>
      <c r="Y23" s="2" t="s">
        <v>10</v>
      </c>
      <c r="Z23" s="2"/>
      <c r="AA23">
        <v>6.5</v>
      </c>
      <c r="AB23">
        <v>15.85</v>
      </c>
      <c r="AC23">
        <v>158.5</v>
      </c>
      <c r="AE23">
        <v>0.85</v>
      </c>
      <c r="AF23">
        <v>1.304</v>
      </c>
      <c r="AG23">
        <v>1.8300000000000001E-7</v>
      </c>
      <c r="AH23" s="12" t="s">
        <v>12</v>
      </c>
    </row>
    <row r="24" spans="1:34" x14ac:dyDescent="0.25">
      <c r="A24" s="1" t="s">
        <v>0</v>
      </c>
      <c r="B24" s="1" t="s">
        <v>1</v>
      </c>
      <c r="C24" s="2">
        <v>1</v>
      </c>
      <c r="D24" s="3">
        <f t="shared" si="0"/>
        <v>1000</v>
      </c>
      <c r="E24" s="4">
        <f t="shared" si="1"/>
        <v>220.0945251477192</v>
      </c>
      <c r="F24" s="2" t="s">
        <v>2</v>
      </c>
      <c r="G24" s="5">
        <f t="shared" si="2"/>
        <v>1.3116000000000001</v>
      </c>
      <c r="H24" s="6">
        <f t="shared" si="3"/>
        <v>0</v>
      </c>
      <c r="I24" s="2" t="s">
        <v>3</v>
      </c>
      <c r="J24" s="17">
        <f t="shared" si="9"/>
        <v>14</v>
      </c>
      <c r="K24" s="2" t="s">
        <v>4</v>
      </c>
      <c r="L24" s="15">
        <f>ODD($AC$11)</f>
        <v>6419</v>
      </c>
      <c r="M24" s="15">
        <f>ODD($AC$12)</f>
        <v>4281</v>
      </c>
      <c r="N24" s="2" t="s">
        <v>5</v>
      </c>
      <c r="O24" s="2" t="s">
        <v>6</v>
      </c>
      <c r="P24" s="2">
        <v>97.5</v>
      </c>
      <c r="Q24" s="2">
        <v>112</v>
      </c>
      <c r="R24" s="18">
        <v>600</v>
      </c>
      <c r="S24" s="2">
        <v>29</v>
      </c>
      <c r="T24" s="2" t="s">
        <v>7</v>
      </c>
      <c r="U24" s="9">
        <f t="shared" si="7"/>
        <v>0.53200000000000003</v>
      </c>
      <c r="V24" s="2" t="s">
        <v>8</v>
      </c>
      <c r="W24" s="2" t="s">
        <v>9</v>
      </c>
      <c r="X24" s="10" t="str">
        <f t="shared" si="12"/>
        <v>Column_div2_L1000_N14_b6419_g4281_fi_600_lmd0.532_T97.5_112_mbs_ang_0_v5</v>
      </c>
      <c r="Y24" s="2" t="s">
        <v>10</v>
      </c>
      <c r="Z24" s="2"/>
      <c r="AA24">
        <v>7</v>
      </c>
      <c r="AB24">
        <v>17.78</v>
      </c>
      <c r="AC24">
        <v>177.8</v>
      </c>
      <c r="AE24">
        <v>1.0640000000000001</v>
      </c>
      <c r="AF24">
        <v>1.3004</v>
      </c>
      <c r="AG24">
        <v>1.9E-6</v>
      </c>
      <c r="AH24" s="12" t="s">
        <v>12</v>
      </c>
    </row>
    <row r="25" spans="1:34" x14ac:dyDescent="0.25">
      <c r="A25" s="1" t="s">
        <v>0</v>
      </c>
      <c r="B25" s="1" t="s">
        <v>1</v>
      </c>
      <c r="C25" s="2">
        <v>1</v>
      </c>
      <c r="D25" s="3">
        <f t="shared" si="0"/>
        <v>1000</v>
      </c>
      <c r="E25" s="4">
        <f t="shared" si="1"/>
        <v>220.0945251477192</v>
      </c>
      <c r="F25" s="2" t="s">
        <v>2</v>
      </c>
      <c r="G25" s="5">
        <f t="shared" si="2"/>
        <v>1.3116000000000001</v>
      </c>
      <c r="H25" s="6">
        <f t="shared" si="3"/>
        <v>0</v>
      </c>
      <c r="I25" s="2" t="s">
        <v>3</v>
      </c>
      <c r="J25" s="17">
        <f t="shared" si="9"/>
        <v>14</v>
      </c>
      <c r="K25" s="2" t="s">
        <v>4</v>
      </c>
      <c r="L25" s="15">
        <f t="shared" si="10"/>
        <v>6419</v>
      </c>
      <c r="M25" s="15">
        <f t="shared" si="11"/>
        <v>4281</v>
      </c>
      <c r="N25" s="2" t="s">
        <v>5</v>
      </c>
      <c r="O25" s="2" t="s">
        <v>6</v>
      </c>
      <c r="P25" s="2">
        <v>112</v>
      </c>
      <c r="Q25" s="2">
        <v>126.5</v>
      </c>
      <c r="R25" s="18">
        <v>600</v>
      </c>
      <c r="S25" s="2">
        <v>29</v>
      </c>
      <c r="T25" s="2" t="s">
        <v>7</v>
      </c>
      <c r="U25" s="9">
        <f t="shared" si="7"/>
        <v>0.53200000000000003</v>
      </c>
      <c r="V25" s="2" t="s">
        <v>8</v>
      </c>
      <c r="W25" s="2" t="s">
        <v>9</v>
      </c>
      <c r="X25" s="10" t="str">
        <f t="shared" si="12"/>
        <v>Column_div2_L1000_N14_b6419_g4281_fi_600_lmd0.532_T112_126.5_mbs_ang_0_v5</v>
      </c>
      <c r="Y25" s="2" t="s">
        <v>10</v>
      </c>
      <c r="Z25" s="2"/>
      <c r="AA25">
        <v>7.5</v>
      </c>
      <c r="AB25">
        <v>19.95</v>
      </c>
      <c r="AC25">
        <v>199.5</v>
      </c>
      <c r="AE25">
        <v>1.55</v>
      </c>
      <c r="AF25">
        <v>1.2906</v>
      </c>
      <c r="AG25">
        <v>4.2407000000000002E-4</v>
      </c>
      <c r="AH25" s="12" t="s">
        <v>12</v>
      </c>
    </row>
    <row r="26" spans="1:34" x14ac:dyDescent="0.25">
      <c r="A26" s="1" t="s">
        <v>0</v>
      </c>
      <c r="B26" s="1" t="s">
        <v>1</v>
      </c>
      <c r="C26" s="2">
        <v>1</v>
      </c>
      <c r="D26" s="3">
        <f t="shared" si="0"/>
        <v>1000</v>
      </c>
      <c r="E26" s="4">
        <f t="shared" si="1"/>
        <v>220.0945251477192</v>
      </c>
      <c r="F26" s="2" t="s">
        <v>2</v>
      </c>
      <c r="G26" s="5">
        <f t="shared" si="2"/>
        <v>1.3116000000000001</v>
      </c>
      <c r="H26" s="6">
        <f t="shared" si="3"/>
        <v>0</v>
      </c>
      <c r="I26" s="2" t="s">
        <v>3</v>
      </c>
      <c r="J26" s="17">
        <f t="shared" si="9"/>
        <v>14</v>
      </c>
      <c r="K26" s="2" t="s">
        <v>4</v>
      </c>
      <c r="L26" s="15">
        <f t="shared" si="10"/>
        <v>6419</v>
      </c>
      <c r="M26" s="15">
        <f t="shared" si="11"/>
        <v>4281</v>
      </c>
      <c r="N26" s="2" t="s">
        <v>5</v>
      </c>
      <c r="O26" s="2" t="s">
        <v>6</v>
      </c>
      <c r="P26" s="2">
        <v>126.5</v>
      </c>
      <c r="Q26" s="2">
        <v>141</v>
      </c>
      <c r="R26" s="18">
        <v>600</v>
      </c>
      <c r="S26" s="2">
        <v>29</v>
      </c>
      <c r="T26" s="2" t="s">
        <v>7</v>
      </c>
      <c r="U26" s="9">
        <f t="shared" si="7"/>
        <v>0.53200000000000003</v>
      </c>
      <c r="V26" s="2" t="s">
        <v>8</v>
      </c>
      <c r="W26" s="2" t="s">
        <v>9</v>
      </c>
      <c r="X26" s="10" t="str">
        <f t="shared" si="12"/>
        <v>Column_div2_L1000_N14_b6419_g4281_fi_600_lmd0.532_T126.5_141_mbs_ang_0_v5</v>
      </c>
      <c r="Y26" s="2" t="s">
        <v>10</v>
      </c>
      <c r="Z26" s="2"/>
      <c r="AA26">
        <v>8</v>
      </c>
      <c r="AB26">
        <v>22.39</v>
      </c>
      <c r="AC26">
        <v>223.9</v>
      </c>
      <c r="AH26" s="12" t="s">
        <v>12</v>
      </c>
    </row>
    <row r="27" spans="1:34" x14ac:dyDescent="0.25">
      <c r="A27" s="1" t="s">
        <v>0</v>
      </c>
      <c r="B27" s="1" t="s">
        <v>1</v>
      </c>
      <c r="C27" s="2">
        <v>1</v>
      </c>
      <c r="D27" s="3">
        <f t="shared" si="0"/>
        <v>1000</v>
      </c>
      <c r="E27" s="4">
        <f t="shared" si="1"/>
        <v>220.0945251477192</v>
      </c>
      <c r="F27" s="2" t="s">
        <v>2</v>
      </c>
      <c r="G27" s="5">
        <f t="shared" si="2"/>
        <v>1.3116000000000001</v>
      </c>
      <c r="H27" s="6">
        <f t="shared" si="3"/>
        <v>0</v>
      </c>
      <c r="I27" s="2" t="s">
        <v>3</v>
      </c>
      <c r="J27" s="17">
        <f t="shared" si="9"/>
        <v>14</v>
      </c>
      <c r="K27" s="2" t="s">
        <v>4</v>
      </c>
      <c r="L27" s="15">
        <f t="shared" si="10"/>
        <v>6419</v>
      </c>
      <c r="M27" s="15">
        <f t="shared" si="11"/>
        <v>4281</v>
      </c>
      <c r="N27" s="2" t="s">
        <v>5</v>
      </c>
      <c r="O27" s="2" t="s">
        <v>6</v>
      </c>
      <c r="P27" s="2">
        <v>141</v>
      </c>
      <c r="Q27" s="2">
        <v>155.5</v>
      </c>
      <c r="R27" s="18">
        <v>600</v>
      </c>
      <c r="S27" s="2">
        <v>29</v>
      </c>
      <c r="T27" s="2" t="s">
        <v>7</v>
      </c>
      <c r="U27" s="9">
        <f t="shared" si="7"/>
        <v>0.53200000000000003</v>
      </c>
      <c r="V27" s="2" t="s">
        <v>8</v>
      </c>
      <c r="W27" s="2" t="s">
        <v>9</v>
      </c>
      <c r="X27" s="10" t="str">
        <f t="shared" si="12"/>
        <v>Column_div2_L1000_N14_b6419_g4281_fi_600_lmd0.532_T141_155.5_mbs_ang_0_v5</v>
      </c>
      <c r="Y27" s="2" t="s">
        <v>10</v>
      </c>
      <c r="Z27" s="2"/>
      <c r="AA27">
        <v>8.5</v>
      </c>
      <c r="AB27">
        <v>25.12</v>
      </c>
      <c r="AC27">
        <v>251.2</v>
      </c>
      <c r="AH27" s="12" t="s">
        <v>12</v>
      </c>
    </row>
    <row r="28" spans="1:34" x14ac:dyDescent="0.25">
      <c r="A28" s="1" t="s">
        <v>0</v>
      </c>
      <c r="B28" s="1" t="s">
        <v>1</v>
      </c>
      <c r="C28" s="2">
        <v>1</v>
      </c>
      <c r="D28" s="3">
        <f t="shared" si="0"/>
        <v>1000</v>
      </c>
      <c r="E28" s="4">
        <f t="shared" si="1"/>
        <v>220.0945251477192</v>
      </c>
      <c r="F28" s="2" t="s">
        <v>2</v>
      </c>
      <c r="G28" s="5">
        <f t="shared" si="2"/>
        <v>1.3116000000000001</v>
      </c>
      <c r="H28" s="6">
        <f t="shared" si="3"/>
        <v>0</v>
      </c>
      <c r="I28" s="2" t="s">
        <v>3</v>
      </c>
      <c r="J28" s="17">
        <f t="shared" si="9"/>
        <v>14</v>
      </c>
      <c r="K28" s="2" t="s">
        <v>4</v>
      </c>
      <c r="L28" s="15">
        <f t="shared" si="10"/>
        <v>6419</v>
      </c>
      <c r="M28" s="15">
        <f t="shared" si="11"/>
        <v>4281</v>
      </c>
      <c r="N28" s="2" t="s">
        <v>5</v>
      </c>
      <c r="O28" s="2" t="s">
        <v>6</v>
      </c>
      <c r="P28" s="2">
        <v>155.5</v>
      </c>
      <c r="Q28" s="2">
        <v>170</v>
      </c>
      <c r="R28" s="18">
        <v>600</v>
      </c>
      <c r="S28" s="2">
        <v>29</v>
      </c>
      <c r="T28" s="2" t="s">
        <v>7</v>
      </c>
      <c r="U28" s="9">
        <f t="shared" si="7"/>
        <v>0.53200000000000003</v>
      </c>
      <c r="V28" s="2" t="s">
        <v>8</v>
      </c>
      <c r="W28" s="2" t="s">
        <v>9</v>
      </c>
      <c r="X28" s="10" t="str">
        <f t="shared" si="12"/>
        <v>Column_div2_L1000_N14_b6419_g4281_fi_600_lmd0.532_T155.5_170_mbs_ang_0_v5</v>
      </c>
      <c r="Y28" s="2" t="s">
        <v>10</v>
      </c>
      <c r="Z28" s="2"/>
      <c r="AA28">
        <v>9</v>
      </c>
      <c r="AB28">
        <v>28.18</v>
      </c>
      <c r="AC28">
        <v>281.8</v>
      </c>
      <c r="AH28" s="12" t="s">
        <v>12</v>
      </c>
    </row>
    <row r="29" spans="1:34" x14ac:dyDescent="0.25">
      <c r="A29" s="1" t="s">
        <v>0</v>
      </c>
      <c r="B29" s="1" t="s">
        <v>1</v>
      </c>
      <c r="C29" s="2">
        <v>1</v>
      </c>
      <c r="D29" s="3">
        <f t="shared" si="0"/>
        <v>1000</v>
      </c>
      <c r="E29" s="4">
        <f t="shared" si="1"/>
        <v>220.0945251477192</v>
      </c>
      <c r="F29" s="2" t="s">
        <v>2</v>
      </c>
      <c r="G29" s="5">
        <f t="shared" si="2"/>
        <v>1.3116000000000001</v>
      </c>
      <c r="H29" s="6">
        <f t="shared" si="3"/>
        <v>0</v>
      </c>
      <c r="I29" s="2" t="s">
        <v>3</v>
      </c>
      <c r="J29" s="17">
        <f t="shared" si="9"/>
        <v>14</v>
      </c>
      <c r="K29" s="2" t="s">
        <v>4</v>
      </c>
      <c r="L29" s="15">
        <f t="shared" si="10"/>
        <v>6419</v>
      </c>
      <c r="M29" s="15">
        <f t="shared" si="11"/>
        <v>4281</v>
      </c>
      <c r="N29" s="2" t="s">
        <v>5</v>
      </c>
      <c r="O29" s="2" t="s">
        <v>6</v>
      </c>
      <c r="P29" s="19">
        <v>170</v>
      </c>
      <c r="Q29" s="20">
        <v>170.625</v>
      </c>
      <c r="R29" s="1">
        <v>180</v>
      </c>
      <c r="S29" s="2">
        <v>10</v>
      </c>
      <c r="T29" s="2" t="s">
        <v>7</v>
      </c>
      <c r="U29" s="9">
        <f t="shared" si="7"/>
        <v>0.53200000000000003</v>
      </c>
      <c r="V29" s="2" t="s">
        <v>8</v>
      </c>
      <c r="W29" s="2" t="s">
        <v>9</v>
      </c>
      <c r="X29" s="10" t="str">
        <f t="shared" si="12"/>
        <v>Column_div2_L1000_N14_b6419_g4281_fi_180_lmd0.532_T170_170.625_mbs_ang_0_v5</v>
      </c>
      <c r="Y29" s="2" t="s">
        <v>10</v>
      </c>
      <c r="Z29" s="2"/>
      <c r="AA29">
        <v>9.5</v>
      </c>
      <c r="AB29">
        <v>31.62</v>
      </c>
      <c r="AC29">
        <v>316.2</v>
      </c>
      <c r="AH29" s="12" t="s">
        <v>12</v>
      </c>
    </row>
    <row r="30" spans="1:34" x14ac:dyDescent="0.25">
      <c r="A30" s="1" t="s">
        <v>0</v>
      </c>
      <c r="B30" s="1" t="s">
        <v>1</v>
      </c>
      <c r="C30" s="2">
        <v>1</v>
      </c>
      <c r="D30" s="3">
        <f t="shared" si="0"/>
        <v>1000</v>
      </c>
      <c r="E30" s="4">
        <f t="shared" si="1"/>
        <v>220.0945251477192</v>
      </c>
      <c r="F30" s="2" t="s">
        <v>2</v>
      </c>
      <c r="G30" s="5">
        <f t="shared" si="2"/>
        <v>1.3116000000000001</v>
      </c>
      <c r="H30" s="6">
        <f t="shared" si="3"/>
        <v>0</v>
      </c>
      <c r="I30" s="2" t="s">
        <v>3</v>
      </c>
      <c r="J30" s="17">
        <f t="shared" si="9"/>
        <v>14</v>
      </c>
      <c r="K30" s="2" t="s">
        <v>4</v>
      </c>
      <c r="L30" s="15">
        <f t="shared" si="10"/>
        <v>6419</v>
      </c>
      <c r="M30" s="15">
        <f t="shared" si="11"/>
        <v>4281</v>
      </c>
      <c r="N30" s="2" t="s">
        <v>5</v>
      </c>
      <c r="O30" s="2" t="s">
        <v>6</v>
      </c>
      <c r="P30" s="19">
        <v>170.625</v>
      </c>
      <c r="Q30" s="19">
        <v>171.25</v>
      </c>
      <c r="R30" s="1">
        <v>180</v>
      </c>
      <c r="S30" s="2">
        <v>10</v>
      </c>
      <c r="T30" s="2" t="s">
        <v>7</v>
      </c>
      <c r="U30" s="9">
        <f t="shared" si="7"/>
        <v>0.53200000000000003</v>
      </c>
      <c r="V30" s="2" t="s">
        <v>8</v>
      </c>
      <c r="W30" s="2" t="s">
        <v>9</v>
      </c>
      <c r="X30" s="10" t="str">
        <f t="shared" si="12"/>
        <v>Column_div2_L1000_N14_b6419_g4281_fi_180_lmd0.532_T170.625_171.25_mbs_ang_0_v5</v>
      </c>
      <c r="Y30" s="2" t="s">
        <v>10</v>
      </c>
      <c r="Z30" s="2"/>
      <c r="AB30">
        <v>35.479999999999997</v>
      </c>
      <c r="AC30">
        <v>354.8</v>
      </c>
      <c r="AH30" s="12" t="s">
        <v>12</v>
      </c>
    </row>
    <row r="31" spans="1:34" x14ac:dyDescent="0.25">
      <c r="A31" s="1" t="s">
        <v>0</v>
      </c>
      <c r="B31" s="1" t="s">
        <v>1</v>
      </c>
      <c r="C31" s="2">
        <v>1</v>
      </c>
      <c r="D31" s="3">
        <f t="shared" si="0"/>
        <v>1000</v>
      </c>
      <c r="E31" s="4">
        <f t="shared" si="1"/>
        <v>220.0945251477192</v>
      </c>
      <c r="F31" s="2" t="s">
        <v>2</v>
      </c>
      <c r="G31" s="5">
        <f t="shared" si="2"/>
        <v>1.3116000000000001</v>
      </c>
      <c r="H31" s="6">
        <f t="shared" si="3"/>
        <v>0</v>
      </c>
      <c r="I31" s="2" t="s">
        <v>3</v>
      </c>
      <c r="J31" s="17">
        <f t="shared" si="9"/>
        <v>14</v>
      </c>
      <c r="K31" s="2" t="s">
        <v>4</v>
      </c>
      <c r="L31" s="15">
        <f t="shared" si="10"/>
        <v>6419</v>
      </c>
      <c r="M31" s="15">
        <f t="shared" si="11"/>
        <v>4281</v>
      </c>
      <c r="N31" s="2" t="s">
        <v>5</v>
      </c>
      <c r="O31" s="2" t="s">
        <v>6</v>
      </c>
      <c r="P31" s="19">
        <v>171.25</v>
      </c>
      <c r="Q31" s="19">
        <v>171.875</v>
      </c>
      <c r="R31" s="1">
        <v>180</v>
      </c>
      <c r="S31" s="2">
        <v>10</v>
      </c>
      <c r="T31" s="2" t="s">
        <v>7</v>
      </c>
      <c r="U31" s="9">
        <f t="shared" si="7"/>
        <v>0.53200000000000003</v>
      </c>
      <c r="V31" s="2" t="s">
        <v>8</v>
      </c>
      <c r="W31" s="2" t="s">
        <v>9</v>
      </c>
      <c r="X31" s="10" t="str">
        <f t="shared" si="12"/>
        <v>Column_div2_L1000_N14_b6419_g4281_fi_180_lmd0.532_T171.25_171.875_mbs_ang_0_v5</v>
      </c>
      <c r="Y31" s="2" t="s">
        <v>10</v>
      </c>
      <c r="Z31" s="2"/>
      <c r="AB31">
        <v>39.81</v>
      </c>
      <c r="AC31">
        <v>398.1</v>
      </c>
      <c r="AH31" s="12" t="s">
        <v>12</v>
      </c>
    </row>
    <row r="32" spans="1:34" x14ac:dyDescent="0.25">
      <c r="A32" s="1" t="s">
        <v>0</v>
      </c>
      <c r="B32" s="1" t="s">
        <v>1</v>
      </c>
      <c r="C32" s="2">
        <v>1</v>
      </c>
      <c r="D32" s="3">
        <f t="shared" si="0"/>
        <v>1000</v>
      </c>
      <c r="E32" s="4">
        <f t="shared" si="1"/>
        <v>220.0945251477192</v>
      </c>
      <c r="F32" s="2" t="s">
        <v>2</v>
      </c>
      <c r="G32" s="5">
        <f t="shared" si="2"/>
        <v>1.3116000000000001</v>
      </c>
      <c r="H32" s="6">
        <f t="shared" si="3"/>
        <v>0</v>
      </c>
      <c r="I32" s="2" t="s">
        <v>3</v>
      </c>
      <c r="J32" s="17">
        <f t="shared" si="9"/>
        <v>14</v>
      </c>
      <c r="K32" s="2" t="s">
        <v>4</v>
      </c>
      <c r="L32" s="15">
        <f t="shared" si="10"/>
        <v>6419</v>
      </c>
      <c r="M32" s="15">
        <f t="shared" si="11"/>
        <v>4281</v>
      </c>
      <c r="N32" s="2" t="s">
        <v>5</v>
      </c>
      <c r="O32" s="2" t="s">
        <v>6</v>
      </c>
      <c r="P32" s="19">
        <v>171.875</v>
      </c>
      <c r="Q32" s="19">
        <v>172.5</v>
      </c>
      <c r="R32" s="1">
        <v>180</v>
      </c>
      <c r="S32" s="2">
        <v>10</v>
      </c>
      <c r="T32" s="2" t="s">
        <v>7</v>
      </c>
      <c r="U32" s="9">
        <f t="shared" si="7"/>
        <v>0.53200000000000003</v>
      </c>
      <c r="V32" s="2" t="s">
        <v>8</v>
      </c>
      <c r="W32" s="2" t="s">
        <v>9</v>
      </c>
      <c r="X32" s="10" t="str">
        <f t="shared" si="12"/>
        <v>Column_div2_L1000_N14_b6419_g4281_fi_180_lmd0.532_T171.875_172.5_mbs_ang_0_v5</v>
      </c>
      <c r="Y32" s="2" t="s">
        <v>10</v>
      </c>
      <c r="Z32" s="2"/>
      <c r="AB32">
        <v>44.67</v>
      </c>
      <c r="AC32">
        <v>446.7</v>
      </c>
      <c r="AH32" s="12" t="s">
        <v>12</v>
      </c>
    </row>
    <row r="33" spans="1:34" x14ac:dyDescent="0.25">
      <c r="A33" s="1" t="s">
        <v>0</v>
      </c>
      <c r="B33" s="1" t="s">
        <v>1</v>
      </c>
      <c r="C33" s="2">
        <v>1</v>
      </c>
      <c r="D33" s="3">
        <f t="shared" si="0"/>
        <v>1000</v>
      </c>
      <c r="E33" s="4">
        <f t="shared" si="1"/>
        <v>220.0945251477192</v>
      </c>
      <c r="F33" s="2" t="s">
        <v>2</v>
      </c>
      <c r="G33" s="5">
        <f t="shared" si="2"/>
        <v>1.3116000000000001</v>
      </c>
      <c r="H33" s="6">
        <f t="shared" si="3"/>
        <v>0</v>
      </c>
      <c r="I33" s="2" t="s">
        <v>3</v>
      </c>
      <c r="J33" s="17">
        <f t="shared" si="9"/>
        <v>14</v>
      </c>
      <c r="K33" s="2" t="s">
        <v>4</v>
      </c>
      <c r="L33" s="15">
        <f t="shared" si="10"/>
        <v>6419</v>
      </c>
      <c r="M33" s="15">
        <f t="shared" si="11"/>
        <v>4281</v>
      </c>
      <c r="N33" s="2" t="s">
        <v>5</v>
      </c>
      <c r="O33" s="2" t="s">
        <v>6</v>
      </c>
      <c r="P33" s="19">
        <v>172.5</v>
      </c>
      <c r="Q33" s="19">
        <v>173.125</v>
      </c>
      <c r="R33" s="1">
        <v>180</v>
      </c>
      <c r="S33" s="2">
        <v>10</v>
      </c>
      <c r="T33" s="2" t="s">
        <v>7</v>
      </c>
      <c r="U33" s="9">
        <f t="shared" si="7"/>
        <v>0.53200000000000003</v>
      </c>
      <c r="V33" s="2" t="s">
        <v>8</v>
      </c>
      <c r="W33" s="2" t="s">
        <v>9</v>
      </c>
      <c r="X33" s="10" t="str">
        <f t="shared" si="12"/>
        <v>Column_div2_L1000_N14_b6419_g4281_fi_180_lmd0.532_T172.5_173.125_mbs_ang_0_v5</v>
      </c>
      <c r="Y33" s="2" t="s">
        <v>10</v>
      </c>
      <c r="Z33" s="2"/>
      <c r="AB33">
        <v>50.12</v>
      </c>
      <c r="AC33">
        <v>501.2</v>
      </c>
      <c r="AH33" s="12" t="s">
        <v>12</v>
      </c>
    </row>
    <row r="34" spans="1:34" x14ac:dyDescent="0.25">
      <c r="A34" s="1" t="s">
        <v>0</v>
      </c>
      <c r="B34" s="1" t="s">
        <v>1</v>
      </c>
      <c r="C34" s="2">
        <v>1</v>
      </c>
      <c r="D34" s="3">
        <f t="shared" si="0"/>
        <v>1000</v>
      </c>
      <c r="E34" s="4">
        <f t="shared" si="1"/>
        <v>220.0945251477192</v>
      </c>
      <c r="F34" s="2" t="s">
        <v>2</v>
      </c>
      <c r="G34" s="5">
        <f t="shared" si="2"/>
        <v>1.3116000000000001</v>
      </c>
      <c r="H34" s="6">
        <f t="shared" si="3"/>
        <v>0</v>
      </c>
      <c r="I34" s="2" t="s">
        <v>3</v>
      </c>
      <c r="J34" s="17">
        <f t="shared" si="9"/>
        <v>14</v>
      </c>
      <c r="K34" s="2" t="s">
        <v>4</v>
      </c>
      <c r="L34" s="15">
        <f t="shared" si="10"/>
        <v>6419</v>
      </c>
      <c r="M34" s="15">
        <f t="shared" si="11"/>
        <v>4281</v>
      </c>
      <c r="N34" s="2" t="s">
        <v>5</v>
      </c>
      <c r="O34" s="2" t="s">
        <v>6</v>
      </c>
      <c r="P34" s="19">
        <v>173.125</v>
      </c>
      <c r="Q34" s="19">
        <v>173.75</v>
      </c>
      <c r="R34" s="1">
        <v>180</v>
      </c>
      <c r="S34" s="2">
        <v>10</v>
      </c>
      <c r="T34" s="2" t="s">
        <v>7</v>
      </c>
      <c r="U34" s="9">
        <f t="shared" si="7"/>
        <v>0.53200000000000003</v>
      </c>
      <c r="V34" s="2" t="s">
        <v>8</v>
      </c>
      <c r="W34" s="2" t="s">
        <v>9</v>
      </c>
      <c r="X34" s="10" t="str">
        <f t="shared" si="12"/>
        <v>Column_div2_L1000_N14_b6419_g4281_fi_180_lmd0.532_T173.125_173.75_mbs_ang_0_v5</v>
      </c>
      <c r="Y34" s="2" t="s">
        <v>10</v>
      </c>
      <c r="Z34" s="2"/>
      <c r="AB34">
        <v>56.23</v>
      </c>
      <c r="AC34">
        <v>562.29999999999995</v>
      </c>
      <c r="AH34" s="12" t="s">
        <v>12</v>
      </c>
    </row>
    <row r="35" spans="1:34" x14ac:dyDescent="0.25">
      <c r="A35" s="1" t="s">
        <v>0</v>
      </c>
      <c r="B35" s="1" t="s">
        <v>1</v>
      </c>
      <c r="C35" s="2">
        <v>1</v>
      </c>
      <c r="D35" s="3">
        <f t="shared" si="0"/>
        <v>1000</v>
      </c>
      <c r="E35" s="4">
        <f t="shared" si="1"/>
        <v>220.0945251477192</v>
      </c>
      <c r="F35" s="2" t="s">
        <v>2</v>
      </c>
      <c r="G35" s="5">
        <f t="shared" si="2"/>
        <v>1.3116000000000001</v>
      </c>
      <c r="H35" s="6">
        <f t="shared" si="3"/>
        <v>0</v>
      </c>
      <c r="I35" s="2" t="s">
        <v>3</v>
      </c>
      <c r="J35" s="17">
        <f t="shared" si="9"/>
        <v>14</v>
      </c>
      <c r="K35" s="2" t="s">
        <v>4</v>
      </c>
      <c r="L35" s="15">
        <f t="shared" si="10"/>
        <v>6419</v>
      </c>
      <c r="M35" s="15">
        <f t="shared" si="11"/>
        <v>4281</v>
      </c>
      <c r="N35" s="2" t="s">
        <v>5</v>
      </c>
      <c r="O35" s="2" t="s">
        <v>6</v>
      </c>
      <c r="P35" s="19">
        <v>173.75</v>
      </c>
      <c r="Q35" s="19">
        <v>174.375</v>
      </c>
      <c r="R35" s="1">
        <v>180</v>
      </c>
      <c r="S35" s="2">
        <v>10</v>
      </c>
      <c r="T35" s="2" t="s">
        <v>7</v>
      </c>
      <c r="U35" s="9">
        <f t="shared" si="7"/>
        <v>0.53200000000000003</v>
      </c>
      <c r="V35" s="2" t="s">
        <v>8</v>
      </c>
      <c r="W35" s="2" t="s">
        <v>9</v>
      </c>
      <c r="X35" s="10" t="str">
        <f t="shared" si="12"/>
        <v>Column_div2_L1000_N14_b6419_g4281_fi_180_lmd0.532_T173.75_174.375_mbs_ang_0_v5</v>
      </c>
      <c r="Y35" s="2" t="s">
        <v>10</v>
      </c>
      <c r="Z35" s="2"/>
      <c r="AB35">
        <v>63.1</v>
      </c>
      <c r="AC35">
        <v>631</v>
      </c>
      <c r="AH35" s="12" t="s">
        <v>12</v>
      </c>
    </row>
    <row r="36" spans="1:34" x14ac:dyDescent="0.25">
      <c r="A36" s="1" t="s">
        <v>0</v>
      </c>
      <c r="B36" s="1" t="s">
        <v>1</v>
      </c>
      <c r="C36" s="2">
        <v>1</v>
      </c>
      <c r="D36" s="3">
        <f t="shared" si="0"/>
        <v>1000</v>
      </c>
      <c r="E36" s="4">
        <f t="shared" si="1"/>
        <v>220.0945251477192</v>
      </c>
      <c r="F36" s="2" t="s">
        <v>2</v>
      </c>
      <c r="G36" s="5">
        <f t="shared" si="2"/>
        <v>1.3116000000000001</v>
      </c>
      <c r="H36" s="6">
        <f t="shared" si="3"/>
        <v>0</v>
      </c>
      <c r="I36" s="2" t="s">
        <v>3</v>
      </c>
      <c r="J36" s="17">
        <f t="shared" si="9"/>
        <v>14</v>
      </c>
      <c r="K36" s="2" t="s">
        <v>4</v>
      </c>
      <c r="L36" s="15">
        <f t="shared" si="10"/>
        <v>6419</v>
      </c>
      <c r="M36" s="15">
        <f t="shared" si="11"/>
        <v>4281</v>
      </c>
      <c r="N36" s="2" t="s">
        <v>5</v>
      </c>
      <c r="O36" s="2" t="s">
        <v>6</v>
      </c>
      <c r="P36" s="19">
        <v>174.375</v>
      </c>
      <c r="Q36" s="19">
        <v>175</v>
      </c>
      <c r="R36" s="1">
        <v>180</v>
      </c>
      <c r="S36" s="2">
        <v>10</v>
      </c>
      <c r="T36" s="2" t="s">
        <v>7</v>
      </c>
      <c r="U36" s="9">
        <f t="shared" si="7"/>
        <v>0.53200000000000003</v>
      </c>
      <c r="V36" s="2" t="s">
        <v>8</v>
      </c>
      <c r="W36" s="2" t="s">
        <v>9</v>
      </c>
      <c r="X36" s="10" t="str">
        <f t="shared" si="12"/>
        <v>Column_div2_L1000_N14_b6419_g4281_fi_180_lmd0.532_T174.375_175_mbs_ang_0_v5</v>
      </c>
      <c r="Y36" s="2" t="s">
        <v>10</v>
      </c>
      <c r="Z36" s="2"/>
      <c r="AB36">
        <v>70.790000000000006</v>
      </c>
      <c r="AC36">
        <v>707.9</v>
      </c>
      <c r="AH36" s="12" t="s">
        <v>12</v>
      </c>
    </row>
    <row r="37" spans="1:34" x14ac:dyDescent="0.25">
      <c r="A37" s="1" t="s">
        <v>0</v>
      </c>
      <c r="B37" s="1" t="s">
        <v>1</v>
      </c>
      <c r="C37" s="2">
        <v>1</v>
      </c>
      <c r="D37" s="3">
        <f t="shared" si="0"/>
        <v>1000</v>
      </c>
      <c r="E37" s="4">
        <f t="shared" si="1"/>
        <v>220.0945251477192</v>
      </c>
      <c r="F37" s="2" t="s">
        <v>2</v>
      </c>
      <c r="G37" s="5">
        <f t="shared" si="2"/>
        <v>1.3116000000000001</v>
      </c>
      <c r="H37" s="6">
        <f t="shared" si="3"/>
        <v>0</v>
      </c>
      <c r="I37" s="2" t="s">
        <v>3</v>
      </c>
      <c r="J37" s="17">
        <f t="shared" si="9"/>
        <v>14</v>
      </c>
      <c r="K37" s="2" t="s">
        <v>4</v>
      </c>
      <c r="L37" s="15">
        <f t="shared" si="10"/>
        <v>6419</v>
      </c>
      <c r="M37" s="15">
        <f t="shared" si="11"/>
        <v>4281</v>
      </c>
      <c r="N37" s="2" t="s">
        <v>5</v>
      </c>
      <c r="O37" s="2" t="s">
        <v>6</v>
      </c>
      <c r="P37" s="19">
        <v>175</v>
      </c>
      <c r="Q37" s="20">
        <v>175.5</v>
      </c>
      <c r="R37" s="1">
        <v>180</v>
      </c>
      <c r="S37" s="2">
        <v>10</v>
      </c>
      <c r="T37" s="2" t="s">
        <v>7</v>
      </c>
      <c r="U37" s="9">
        <f t="shared" si="7"/>
        <v>0.53200000000000003</v>
      </c>
      <c r="V37" s="2" t="s">
        <v>8</v>
      </c>
      <c r="W37" s="2" t="s">
        <v>9</v>
      </c>
      <c r="X37" s="10" t="str">
        <f t="shared" si="12"/>
        <v>Column_div2_L1000_N14_b6419_g4281_fi_180_lmd0.532_T175_175.5_mbs_ang_0_v5</v>
      </c>
      <c r="Y37" s="2" t="s">
        <v>10</v>
      </c>
      <c r="Z37" s="2"/>
      <c r="AB37">
        <v>79.430000000000007</v>
      </c>
      <c r="AC37">
        <v>794.3</v>
      </c>
      <c r="AH37" s="12" t="s">
        <v>12</v>
      </c>
    </row>
    <row r="38" spans="1:34" x14ac:dyDescent="0.25">
      <c r="A38" s="1" t="s">
        <v>0</v>
      </c>
      <c r="B38" s="1" t="s">
        <v>1</v>
      </c>
      <c r="C38" s="2">
        <v>1</v>
      </c>
      <c r="D38" s="3">
        <f t="shared" si="0"/>
        <v>1000</v>
      </c>
      <c r="E38" s="4">
        <f t="shared" si="1"/>
        <v>220.0945251477192</v>
      </c>
      <c r="F38" s="2" t="s">
        <v>2</v>
      </c>
      <c r="G38" s="5">
        <f t="shared" si="2"/>
        <v>1.3116000000000001</v>
      </c>
      <c r="H38" s="6">
        <f t="shared" si="3"/>
        <v>0</v>
      </c>
      <c r="I38" s="2" t="s">
        <v>3</v>
      </c>
      <c r="J38" s="17">
        <f t="shared" si="9"/>
        <v>14</v>
      </c>
      <c r="K38" s="2" t="s">
        <v>4</v>
      </c>
      <c r="L38" s="15">
        <f t="shared" si="10"/>
        <v>6419</v>
      </c>
      <c r="M38" s="15">
        <f t="shared" si="11"/>
        <v>4281</v>
      </c>
      <c r="N38" s="2" t="s">
        <v>5</v>
      </c>
      <c r="O38" s="2" t="s">
        <v>6</v>
      </c>
      <c r="P38" s="19">
        <v>175.5</v>
      </c>
      <c r="Q38" s="19">
        <v>176</v>
      </c>
      <c r="R38" s="1">
        <v>180</v>
      </c>
      <c r="S38" s="2">
        <v>10</v>
      </c>
      <c r="T38" s="2" t="s">
        <v>7</v>
      </c>
      <c r="U38" s="9">
        <f t="shared" si="7"/>
        <v>0.53200000000000003</v>
      </c>
      <c r="V38" s="2" t="s">
        <v>8</v>
      </c>
      <c r="W38" s="2" t="s">
        <v>9</v>
      </c>
      <c r="X38" s="10" t="str">
        <f t="shared" si="12"/>
        <v>Column_div2_L1000_N14_b6419_g4281_fi_180_lmd0.532_T175.5_176_mbs_ang_0_v5</v>
      </c>
      <c r="Y38" s="2" t="s">
        <v>10</v>
      </c>
      <c r="Z38" s="2"/>
      <c r="AB38">
        <v>89.13</v>
      </c>
      <c r="AC38">
        <v>891.3</v>
      </c>
      <c r="AH38" s="12" t="s">
        <v>12</v>
      </c>
    </row>
    <row r="39" spans="1:34" x14ac:dyDescent="0.25">
      <c r="A39" s="1" t="s">
        <v>0</v>
      </c>
      <c r="B39" s="1" t="s">
        <v>1</v>
      </c>
      <c r="C39" s="2">
        <v>1</v>
      </c>
      <c r="D39" s="3">
        <f t="shared" si="0"/>
        <v>1000</v>
      </c>
      <c r="E39" s="4">
        <f t="shared" si="1"/>
        <v>220.0945251477192</v>
      </c>
      <c r="F39" s="2" t="s">
        <v>2</v>
      </c>
      <c r="G39" s="5">
        <f t="shared" si="2"/>
        <v>1.3116000000000001</v>
      </c>
      <c r="H39" s="6">
        <f t="shared" si="3"/>
        <v>0</v>
      </c>
      <c r="I39" s="2" t="s">
        <v>3</v>
      </c>
      <c r="J39" s="17">
        <f t="shared" si="9"/>
        <v>14</v>
      </c>
      <c r="K39" s="2" t="s">
        <v>4</v>
      </c>
      <c r="L39" s="15">
        <f t="shared" si="10"/>
        <v>6419</v>
      </c>
      <c r="M39" s="15">
        <f t="shared" si="11"/>
        <v>4281</v>
      </c>
      <c r="N39" s="2" t="s">
        <v>5</v>
      </c>
      <c r="O39" s="2" t="s">
        <v>6</v>
      </c>
      <c r="P39" s="19">
        <v>176</v>
      </c>
      <c r="Q39" s="19">
        <v>176.5</v>
      </c>
      <c r="R39" s="1">
        <v>180</v>
      </c>
      <c r="S39" s="2">
        <v>10</v>
      </c>
      <c r="T39" s="2" t="s">
        <v>7</v>
      </c>
      <c r="U39" s="9">
        <f t="shared" si="7"/>
        <v>0.53200000000000003</v>
      </c>
      <c r="V39" s="2" t="s">
        <v>8</v>
      </c>
      <c r="W39" s="2" t="s">
        <v>9</v>
      </c>
      <c r="X39" s="10" t="str">
        <f t="shared" si="12"/>
        <v>Column_div2_L1000_N14_b6419_g4281_fi_180_lmd0.532_T176_176.5_mbs_ang_0_v5</v>
      </c>
      <c r="Y39" s="2" t="s">
        <v>10</v>
      </c>
      <c r="Z39" s="2"/>
      <c r="AB39">
        <v>100</v>
      </c>
      <c r="AC39">
        <v>1000</v>
      </c>
      <c r="AH39" s="12" t="s">
        <v>12</v>
      </c>
    </row>
    <row r="40" spans="1:34" x14ac:dyDescent="0.25">
      <c r="A40" s="1" t="s">
        <v>0</v>
      </c>
      <c r="B40" s="1" t="s">
        <v>1</v>
      </c>
      <c r="C40" s="2">
        <v>1</v>
      </c>
      <c r="D40" s="3">
        <f t="shared" si="0"/>
        <v>1000</v>
      </c>
      <c r="E40" s="4">
        <f t="shared" si="1"/>
        <v>220.0945251477192</v>
      </c>
      <c r="F40" s="2" t="s">
        <v>2</v>
      </c>
      <c r="G40" s="5">
        <f t="shared" si="2"/>
        <v>1.3116000000000001</v>
      </c>
      <c r="H40" s="6">
        <f t="shared" si="3"/>
        <v>0</v>
      </c>
      <c r="I40" s="2" t="s">
        <v>3</v>
      </c>
      <c r="J40" s="17">
        <f t="shared" si="9"/>
        <v>14</v>
      </c>
      <c r="K40" s="2" t="s">
        <v>4</v>
      </c>
      <c r="L40" s="15">
        <f t="shared" si="10"/>
        <v>6419</v>
      </c>
      <c r="M40" s="15">
        <f t="shared" si="11"/>
        <v>4281</v>
      </c>
      <c r="N40" s="2" t="s">
        <v>5</v>
      </c>
      <c r="O40" s="2" t="s">
        <v>6</v>
      </c>
      <c r="P40" s="19">
        <v>176.5</v>
      </c>
      <c r="Q40" s="19">
        <v>177</v>
      </c>
      <c r="R40" s="1">
        <v>180</v>
      </c>
      <c r="S40" s="2">
        <v>10</v>
      </c>
      <c r="T40" s="2" t="s">
        <v>7</v>
      </c>
      <c r="U40" s="9">
        <f t="shared" si="7"/>
        <v>0.53200000000000003</v>
      </c>
      <c r="V40" s="2" t="s">
        <v>8</v>
      </c>
      <c r="W40" s="2" t="s">
        <v>9</v>
      </c>
      <c r="X40" s="10" t="str">
        <f t="shared" si="12"/>
        <v>Column_div2_L1000_N14_b6419_g4281_fi_180_lmd0.532_T176.5_177_mbs_ang_0_v5</v>
      </c>
      <c r="Y40" s="2" t="s">
        <v>10</v>
      </c>
      <c r="Z40" s="2"/>
      <c r="AH40" s="12" t="s">
        <v>12</v>
      </c>
    </row>
    <row r="41" spans="1:34" x14ac:dyDescent="0.25">
      <c r="A41" s="1" t="s">
        <v>0</v>
      </c>
      <c r="B41" s="1" t="s">
        <v>1</v>
      </c>
      <c r="C41" s="2">
        <v>1</v>
      </c>
      <c r="D41" s="3">
        <f t="shared" si="0"/>
        <v>1000</v>
      </c>
      <c r="E41" s="4">
        <f t="shared" si="1"/>
        <v>220.0945251477192</v>
      </c>
      <c r="F41" s="2" t="s">
        <v>2</v>
      </c>
      <c r="G41" s="5">
        <f t="shared" si="2"/>
        <v>1.3116000000000001</v>
      </c>
      <c r="H41" s="6">
        <f t="shared" si="3"/>
        <v>0</v>
      </c>
      <c r="I41" s="2" t="s">
        <v>3</v>
      </c>
      <c r="J41" s="17">
        <f t="shared" si="9"/>
        <v>14</v>
      </c>
      <c r="K41" s="2" t="s">
        <v>4</v>
      </c>
      <c r="L41" s="15">
        <f t="shared" si="10"/>
        <v>6419</v>
      </c>
      <c r="M41" s="15">
        <f t="shared" si="11"/>
        <v>4281</v>
      </c>
      <c r="N41" s="2" t="s">
        <v>5</v>
      </c>
      <c r="O41" s="2" t="s">
        <v>6</v>
      </c>
      <c r="P41" s="19">
        <v>177</v>
      </c>
      <c r="Q41" s="19">
        <v>177.5</v>
      </c>
      <c r="R41" s="1">
        <v>180</v>
      </c>
      <c r="S41" s="2">
        <v>10</v>
      </c>
      <c r="T41" s="2" t="s">
        <v>7</v>
      </c>
      <c r="U41" s="9">
        <f t="shared" si="7"/>
        <v>0.53200000000000003</v>
      </c>
      <c r="V41" s="2" t="s">
        <v>8</v>
      </c>
      <c r="W41" s="2" t="s">
        <v>9</v>
      </c>
      <c r="X41" s="10" t="str">
        <f t="shared" si="12"/>
        <v>Column_div2_L1000_N14_b6419_g4281_fi_180_lmd0.532_T177_177.5_mbs_ang_0_v5</v>
      </c>
      <c r="Y41" s="2" t="s">
        <v>10</v>
      </c>
      <c r="Z41" s="2"/>
      <c r="AH41" s="12" t="s">
        <v>12</v>
      </c>
    </row>
    <row r="42" spans="1:34" x14ac:dyDescent="0.25">
      <c r="A42" s="1" t="s">
        <v>0</v>
      </c>
      <c r="B42" s="1" t="s">
        <v>1</v>
      </c>
      <c r="C42" s="2">
        <v>1</v>
      </c>
      <c r="D42" s="3">
        <f t="shared" si="0"/>
        <v>1000</v>
      </c>
      <c r="E42" s="4">
        <f t="shared" si="1"/>
        <v>220.0945251477192</v>
      </c>
      <c r="F42" s="2" t="s">
        <v>2</v>
      </c>
      <c r="G42" s="5">
        <f t="shared" si="2"/>
        <v>1.3116000000000001</v>
      </c>
      <c r="H42" s="6">
        <f t="shared" si="3"/>
        <v>0</v>
      </c>
      <c r="I42" s="2" t="s">
        <v>3</v>
      </c>
      <c r="J42" s="17">
        <f t="shared" si="9"/>
        <v>14</v>
      </c>
      <c r="K42" s="2" t="s">
        <v>4</v>
      </c>
      <c r="L42" s="15">
        <f t="shared" si="10"/>
        <v>6419</v>
      </c>
      <c r="M42" s="15">
        <f t="shared" si="11"/>
        <v>4281</v>
      </c>
      <c r="N42" s="2" t="s">
        <v>5</v>
      </c>
      <c r="O42" s="2" t="s">
        <v>6</v>
      </c>
      <c r="P42" s="19">
        <v>177.5</v>
      </c>
      <c r="Q42" s="19">
        <v>178</v>
      </c>
      <c r="R42" s="1">
        <v>180</v>
      </c>
      <c r="S42" s="2">
        <v>10</v>
      </c>
      <c r="T42" s="2" t="s">
        <v>7</v>
      </c>
      <c r="U42" s="9">
        <f t="shared" si="7"/>
        <v>0.53200000000000003</v>
      </c>
      <c r="V42" s="2" t="s">
        <v>8</v>
      </c>
      <c r="W42" s="2" t="s">
        <v>9</v>
      </c>
      <c r="X42" s="10" t="str">
        <f t="shared" si="12"/>
        <v>Column_div2_L1000_N14_b6419_g4281_fi_180_lmd0.532_T177.5_178_mbs_ang_0_v5</v>
      </c>
      <c r="Y42" s="2" t="s">
        <v>10</v>
      </c>
      <c r="Z42" s="2"/>
      <c r="AH42" s="12" t="s">
        <v>12</v>
      </c>
    </row>
    <row r="43" spans="1:34" x14ac:dyDescent="0.25">
      <c r="A43" s="1" t="s">
        <v>0</v>
      </c>
      <c r="B43" s="1" t="s">
        <v>1</v>
      </c>
      <c r="C43" s="2">
        <v>1</v>
      </c>
      <c r="D43" s="3">
        <f t="shared" si="0"/>
        <v>1000</v>
      </c>
      <c r="E43" s="4">
        <f t="shared" si="1"/>
        <v>220.0945251477192</v>
      </c>
      <c r="F43" s="2" t="s">
        <v>2</v>
      </c>
      <c r="G43" s="5">
        <f t="shared" si="2"/>
        <v>1.3116000000000001</v>
      </c>
      <c r="H43" s="6">
        <f t="shared" si="3"/>
        <v>0</v>
      </c>
      <c r="I43" s="2" t="s">
        <v>3</v>
      </c>
      <c r="J43" s="17">
        <f t="shared" si="9"/>
        <v>14</v>
      </c>
      <c r="K43" s="2" t="s">
        <v>4</v>
      </c>
      <c r="L43" s="15">
        <f t="shared" si="10"/>
        <v>6419</v>
      </c>
      <c r="M43" s="15">
        <f t="shared" si="11"/>
        <v>4281</v>
      </c>
      <c r="N43" s="2" t="s">
        <v>5</v>
      </c>
      <c r="O43" s="2" t="s">
        <v>6</v>
      </c>
      <c r="P43" s="19">
        <v>178</v>
      </c>
      <c r="Q43" s="20">
        <v>178.375</v>
      </c>
      <c r="R43" s="1">
        <v>180</v>
      </c>
      <c r="S43" s="2">
        <v>10</v>
      </c>
      <c r="T43" s="2" t="s">
        <v>7</v>
      </c>
      <c r="U43" s="9">
        <f t="shared" si="7"/>
        <v>0.53200000000000003</v>
      </c>
      <c r="V43" s="2" t="s">
        <v>8</v>
      </c>
      <c r="W43" s="2" t="s">
        <v>9</v>
      </c>
      <c r="X43" s="10" t="str">
        <f t="shared" si="12"/>
        <v>Column_div2_L1000_N14_b6419_g4281_fi_180_lmd0.532_T178_178.375_mbs_ang_0_v5</v>
      </c>
      <c r="Y43" s="2" t="s">
        <v>10</v>
      </c>
      <c r="Z43" s="2"/>
      <c r="AH43" s="12" t="s">
        <v>12</v>
      </c>
    </row>
    <row r="44" spans="1:34" x14ac:dyDescent="0.25">
      <c r="A44" s="1" t="s">
        <v>0</v>
      </c>
      <c r="B44" s="1" t="s">
        <v>1</v>
      </c>
      <c r="C44" s="2">
        <v>1</v>
      </c>
      <c r="D44" s="3">
        <f t="shared" si="0"/>
        <v>1000</v>
      </c>
      <c r="E44" s="4">
        <f t="shared" si="1"/>
        <v>220.0945251477192</v>
      </c>
      <c r="F44" s="2" t="s">
        <v>2</v>
      </c>
      <c r="G44" s="5">
        <f t="shared" si="2"/>
        <v>1.3116000000000001</v>
      </c>
      <c r="H44" s="6">
        <f t="shared" si="3"/>
        <v>0</v>
      </c>
      <c r="I44" s="2" t="s">
        <v>3</v>
      </c>
      <c r="J44" s="17">
        <f t="shared" si="9"/>
        <v>14</v>
      </c>
      <c r="K44" s="2" t="s">
        <v>4</v>
      </c>
      <c r="L44" s="15">
        <f t="shared" si="10"/>
        <v>6419</v>
      </c>
      <c r="M44" s="15">
        <f t="shared" si="11"/>
        <v>4281</v>
      </c>
      <c r="N44" s="2" t="s">
        <v>5</v>
      </c>
      <c r="O44" s="2" t="s">
        <v>6</v>
      </c>
      <c r="P44" s="19">
        <v>178.375</v>
      </c>
      <c r="Q44" s="19">
        <v>178.75</v>
      </c>
      <c r="R44" s="1">
        <v>180</v>
      </c>
      <c r="S44" s="2">
        <v>10</v>
      </c>
      <c r="T44" s="2" t="s">
        <v>7</v>
      </c>
      <c r="U44" s="9">
        <f t="shared" si="7"/>
        <v>0.53200000000000003</v>
      </c>
      <c r="V44" s="2" t="s">
        <v>8</v>
      </c>
      <c r="W44" s="2" t="s">
        <v>9</v>
      </c>
      <c r="X44" s="10" t="str">
        <f t="shared" si="12"/>
        <v>Column_div2_L1000_N14_b6419_g4281_fi_180_lmd0.532_T178.375_178.75_mbs_ang_0_v5</v>
      </c>
      <c r="Y44" s="2" t="s">
        <v>10</v>
      </c>
      <c r="Z44" s="2"/>
      <c r="AH44" s="12" t="s">
        <v>12</v>
      </c>
    </row>
    <row r="45" spans="1:34" x14ac:dyDescent="0.25">
      <c r="A45" s="1" t="s">
        <v>0</v>
      </c>
      <c r="B45" s="1" t="s">
        <v>1</v>
      </c>
      <c r="C45" s="2">
        <v>1</v>
      </c>
      <c r="D45" s="3">
        <f t="shared" si="0"/>
        <v>1000</v>
      </c>
      <c r="E45" s="4">
        <f t="shared" si="1"/>
        <v>220.0945251477192</v>
      </c>
      <c r="F45" s="2" t="s">
        <v>2</v>
      </c>
      <c r="G45" s="5">
        <f t="shared" si="2"/>
        <v>1.3116000000000001</v>
      </c>
      <c r="H45" s="6">
        <f t="shared" si="3"/>
        <v>0</v>
      </c>
      <c r="I45" s="2" t="s">
        <v>3</v>
      </c>
      <c r="J45" s="17">
        <f t="shared" si="9"/>
        <v>14</v>
      </c>
      <c r="K45" s="2" t="s">
        <v>4</v>
      </c>
      <c r="L45" s="15">
        <f t="shared" si="10"/>
        <v>6419</v>
      </c>
      <c r="M45" s="15">
        <f t="shared" si="11"/>
        <v>4281</v>
      </c>
      <c r="N45" s="2" t="s">
        <v>5</v>
      </c>
      <c r="O45" s="2" t="s">
        <v>6</v>
      </c>
      <c r="P45" s="19">
        <v>178.75</v>
      </c>
      <c r="Q45" s="19">
        <v>179.125</v>
      </c>
      <c r="R45" s="1">
        <v>180</v>
      </c>
      <c r="S45" s="2">
        <v>10</v>
      </c>
      <c r="T45" s="2" t="s">
        <v>7</v>
      </c>
      <c r="U45" s="9">
        <f t="shared" si="7"/>
        <v>0.53200000000000003</v>
      </c>
      <c r="V45" s="2" t="s">
        <v>8</v>
      </c>
      <c r="W45" s="2" t="s">
        <v>9</v>
      </c>
      <c r="X45" s="10" t="str">
        <f t="shared" si="12"/>
        <v>Column_div2_L1000_N14_b6419_g4281_fi_180_lmd0.532_T178.75_179.125_mbs_ang_0_v5</v>
      </c>
      <c r="Y45" s="2" t="s">
        <v>10</v>
      </c>
      <c r="Z45" s="2"/>
      <c r="AH45" s="12" t="s">
        <v>12</v>
      </c>
    </row>
    <row r="46" spans="1:34" x14ac:dyDescent="0.25">
      <c r="A46" s="1" t="s">
        <v>0</v>
      </c>
      <c r="B46" s="1" t="s">
        <v>1</v>
      </c>
      <c r="C46" s="2">
        <v>1</v>
      </c>
      <c r="D46" s="3">
        <f t="shared" si="0"/>
        <v>1000</v>
      </c>
      <c r="E46" s="4">
        <f t="shared" si="1"/>
        <v>220.0945251477192</v>
      </c>
      <c r="F46" s="2" t="s">
        <v>2</v>
      </c>
      <c r="G46" s="5">
        <f t="shared" si="2"/>
        <v>1.3116000000000001</v>
      </c>
      <c r="H46" s="6">
        <f t="shared" si="3"/>
        <v>0</v>
      </c>
      <c r="I46" s="2" t="s">
        <v>3</v>
      </c>
      <c r="J46" s="17">
        <f t="shared" si="9"/>
        <v>14</v>
      </c>
      <c r="K46" s="2" t="s">
        <v>4</v>
      </c>
      <c r="L46" s="15">
        <f t="shared" si="10"/>
        <v>6419</v>
      </c>
      <c r="M46" s="15">
        <f t="shared" si="11"/>
        <v>4281</v>
      </c>
      <c r="N46" s="2" t="s">
        <v>5</v>
      </c>
      <c r="O46" s="2" t="s">
        <v>6</v>
      </c>
      <c r="P46" s="19">
        <v>179.125</v>
      </c>
      <c r="Q46" s="19">
        <v>179.5</v>
      </c>
      <c r="R46" s="1">
        <v>180</v>
      </c>
      <c r="S46" s="2">
        <v>10</v>
      </c>
      <c r="T46" s="2" t="s">
        <v>7</v>
      </c>
      <c r="U46" s="9">
        <f t="shared" si="7"/>
        <v>0.53200000000000003</v>
      </c>
      <c r="V46" s="2" t="s">
        <v>8</v>
      </c>
      <c r="W46" s="2" t="s">
        <v>9</v>
      </c>
      <c r="X46" s="10" t="str">
        <f t="shared" si="12"/>
        <v>Column_div2_L1000_N14_b6419_g4281_fi_180_lmd0.532_T179.125_179.5_mbs_ang_0_v5</v>
      </c>
      <c r="Y46" s="2" t="s">
        <v>10</v>
      </c>
      <c r="Z46" s="2"/>
      <c r="AH46" s="12" t="s">
        <v>12</v>
      </c>
    </row>
    <row r="47" spans="1:34" x14ac:dyDescent="0.25">
      <c r="A47" s="1" t="s">
        <v>0</v>
      </c>
      <c r="B47" s="1" t="s">
        <v>1</v>
      </c>
      <c r="C47" s="2">
        <v>1</v>
      </c>
      <c r="D47" s="3">
        <f t="shared" si="0"/>
        <v>1000</v>
      </c>
      <c r="E47" s="4">
        <f t="shared" si="1"/>
        <v>220.0945251477192</v>
      </c>
      <c r="F47" s="2" t="s">
        <v>2</v>
      </c>
      <c r="G47" s="5">
        <f t="shared" si="2"/>
        <v>1.3116000000000001</v>
      </c>
      <c r="H47" s="6">
        <f t="shared" si="3"/>
        <v>0</v>
      </c>
      <c r="I47" s="2" t="s">
        <v>3</v>
      </c>
      <c r="J47" s="17">
        <f t="shared" si="9"/>
        <v>14</v>
      </c>
      <c r="K47" s="2" t="s">
        <v>4</v>
      </c>
      <c r="L47" s="15">
        <f>ODD(AC11)</f>
        <v>6419</v>
      </c>
      <c r="M47" s="15">
        <f>ODD(AC12)</f>
        <v>4281</v>
      </c>
      <c r="N47" s="2" t="s">
        <v>5</v>
      </c>
      <c r="O47" s="2" t="s">
        <v>6</v>
      </c>
      <c r="P47" s="19">
        <v>179.5</v>
      </c>
      <c r="Q47" s="20">
        <v>179.66</v>
      </c>
      <c r="R47" s="1">
        <v>180</v>
      </c>
      <c r="S47" s="2">
        <v>10</v>
      </c>
      <c r="T47" s="2" t="s">
        <v>7</v>
      </c>
      <c r="U47" s="9">
        <f t="shared" si="7"/>
        <v>0.53200000000000003</v>
      </c>
      <c r="V47" s="2" t="s">
        <v>8</v>
      </c>
      <c r="W47" s="2" t="s">
        <v>9</v>
      </c>
      <c r="X47" s="10" t="str">
        <f t="shared" si="12"/>
        <v>Column_div2_L1000_N14_b6419_g4281_fi_180_lmd0.532_T179.5_179.66_mbs_ang_0_v5</v>
      </c>
      <c r="Y47" s="2" t="s">
        <v>10</v>
      </c>
      <c r="Z47" s="2"/>
      <c r="AH47" s="12" t="s">
        <v>12</v>
      </c>
    </row>
    <row r="48" spans="1:34" x14ac:dyDescent="0.25">
      <c r="A48" s="1" t="s">
        <v>0</v>
      </c>
      <c r="B48" s="1" t="s">
        <v>1</v>
      </c>
      <c r="C48" s="2">
        <v>1</v>
      </c>
      <c r="D48" s="3">
        <f t="shared" si="0"/>
        <v>1000</v>
      </c>
      <c r="E48" s="4">
        <f t="shared" si="1"/>
        <v>220.0945251477192</v>
      </c>
      <c r="F48" s="2" t="s">
        <v>2</v>
      </c>
      <c r="G48" s="5">
        <f t="shared" si="2"/>
        <v>1.3116000000000001</v>
      </c>
      <c r="H48" s="6">
        <f t="shared" si="3"/>
        <v>0</v>
      </c>
      <c r="I48" s="2" t="s">
        <v>3</v>
      </c>
      <c r="J48" s="17">
        <f t="shared" si="9"/>
        <v>14</v>
      </c>
      <c r="K48" s="2" t="s">
        <v>4</v>
      </c>
      <c r="L48" s="15">
        <f>ODD(AC11)</f>
        <v>6419</v>
      </c>
      <c r="M48" s="15">
        <f>ODD(AC12)</f>
        <v>4281</v>
      </c>
      <c r="N48" s="2" t="s">
        <v>5</v>
      </c>
      <c r="O48" s="2" t="s">
        <v>6</v>
      </c>
      <c r="P48" s="19">
        <v>179.66</v>
      </c>
      <c r="Q48" s="19">
        <v>179.83</v>
      </c>
      <c r="R48" s="1">
        <v>180</v>
      </c>
      <c r="S48" s="2">
        <v>10</v>
      </c>
      <c r="T48" s="2" t="s">
        <v>7</v>
      </c>
      <c r="U48" s="9">
        <f t="shared" si="7"/>
        <v>0.53200000000000003</v>
      </c>
      <c r="V48" s="2" t="s">
        <v>8</v>
      </c>
      <c r="W48" s="2" t="s">
        <v>9</v>
      </c>
      <c r="X48" s="10" t="str">
        <f t="shared" si="12"/>
        <v>Column_div2_L1000_N14_b6419_g4281_fi_180_lmd0.532_T179.66_179.83_mbs_ang_0_v5</v>
      </c>
      <c r="Y48" s="2" t="s">
        <v>10</v>
      </c>
      <c r="Z48" s="2"/>
      <c r="AH48" s="12" t="s">
        <v>12</v>
      </c>
    </row>
    <row r="49" spans="1:34" x14ac:dyDescent="0.25">
      <c r="A49" s="1" t="s">
        <v>0</v>
      </c>
      <c r="B49" s="1" t="s">
        <v>1</v>
      </c>
      <c r="C49" s="2">
        <v>1</v>
      </c>
      <c r="D49" s="3">
        <f t="shared" si="0"/>
        <v>1000</v>
      </c>
      <c r="E49" s="4">
        <f t="shared" si="1"/>
        <v>220.0945251477192</v>
      </c>
      <c r="F49" s="2" t="s">
        <v>2</v>
      </c>
      <c r="G49" s="5">
        <f t="shared" si="2"/>
        <v>1.3116000000000001</v>
      </c>
      <c r="H49" s="6">
        <f t="shared" si="3"/>
        <v>0</v>
      </c>
      <c r="I49" s="2" t="s">
        <v>3</v>
      </c>
      <c r="J49" s="17">
        <f t="shared" si="9"/>
        <v>14</v>
      </c>
      <c r="K49" s="2" t="s">
        <v>4</v>
      </c>
      <c r="L49" s="15">
        <f>ODD(AC11)</f>
        <v>6419</v>
      </c>
      <c r="M49" s="15">
        <f>ODD(AC12)</f>
        <v>4281</v>
      </c>
      <c r="N49" s="2" t="s">
        <v>5</v>
      </c>
      <c r="O49" s="2" t="s">
        <v>6</v>
      </c>
      <c r="P49" s="19">
        <v>179.83</v>
      </c>
      <c r="Q49" s="19">
        <v>179.99999999999997</v>
      </c>
      <c r="R49" s="1">
        <v>180</v>
      </c>
      <c r="S49" s="2">
        <v>10</v>
      </c>
      <c r="T49" s="2" t="s">
        <v>7</v>
      </c>
      <c r="U49" s="9">
        <f t="shared" si="7"/>
        <v>0.53200000000000003</v>
      </c>
      <c r="V49" s="2" t="s">
        <v>8</v>
      </c>
      <c r="W49" s="2" t="s">
        <v>9</v>
      </c>
      <c r="X49" s="10" t="str">
        <f t="shared" si="12"/>
        <v>Column_div2_L1000_N14_b6419_g4281_fi_180_lmd0.532_T179.83_180_mbs_ang_0_v5</v>
      </c>
      <c r="Y49" s="2" t="s">
        <v>10</v>
      </c>
      <c r="Z49" s="2"/>
      <c r="AH49" s="12" t="s">
        <v>12</v>
      </c>
    </row>
    <row r="53" spans="1:34" x14ac:dyDescent="0.25">
      <c r="A53" s="1" t="s">
        <v>0</v>
      </c>
      <c r="B53" s="1" t="s">
        <v>1</v>
      </c>
      <c r="C53" s="2">
        <v>1</v>
      </c>
      <c r="D53" s="3">
        <f t="shared" ref="D53:D110" si="13">$AB$2</f>
        <v>1000</v>
      </c>
      <c r="E53" s="4">
        <f t="shared" ref="E53:E110" si="14">0.7*$AB$2</f>
        <v>700</v>
      </c>
      <c r="F53" s="2" t="s">
        <v>2</v>
      </c>
      <c r="G53" s="5">
        <f t="shared" ref="G53:G110" si="15">$AB$16</f>
        <v>1.3116000000000001</v>
      </c>
      <c r="H53" s="6">
        <f t="shared" ref="H53:H110" si="16">$AB$17</f>
        <v>0</v>
      </c>
      <c r="I53" s="2" t="s">
        <v>3</v>
      </c>
      <c r="J53" s="17">
        <f>$AC$15</f>
        <v>14</v>
      </c>
      <c r="K53" s="2" t="s">
        <v>4</v>
      </c>
      <c r="L53" s="15">
        <f>ODD($AC$11)</f>
        <v>6419</v>
      </c>
      <c r="M53" s="15">
        <f>ODD($AC$12)</f>
        <v>4281</v>
      </c>
      <c r="N53" s="2" t="s">
        <v>5</v>
      </c>
      <c r="O53" s="2" t="s">
        <v>6</v>
      </c>
      <c r="P53" s="2">
        <v>25</v>
      </c>
      <c r="Q53" s="2">
        <v>27.5</v>
      </c>
      <c r="R53" s="18">
        <v>600</v>
      </c>
      <c r="S53" s="2">
        <v>5</v>
      </c>
      <c r="T53" s="2" t="s">
        <v>7</v>
      </c>
      <c r="U53" s="9">
        <f t="shared" ref="U53:U110" si="17">$AB$1</f>
        <v>0.53200000000000003</v>
      </c>
      <c r="V53" s="2" t="s">
        <v>8</v>
      </c>
      <c r="W53" s="2" t="s">
        <v>9</v>
      </c>
      <c r="X53" s="10" t="str">
        <f>CONCATENATE("Column_div2_","L",ROUNDDOWN(D53,3),"_","N",J53,"_","b",L53,"_","g",M53,"_","fi_",R53,"_","lmd",U53,"_","T",P53,"_",Q53,"_",A53)</f>
        <v>Column_div2_L1000_N14_b6419_g4281_fi_600_lmd0.532_T25_27.5_mbs_ang_0_v5</v>
      </c>
      <c r="Y53" s="2" t="s">
        <v>10</v>
      </c>
    </row>
    <row r="54" spans="1:34" x14ac:dyDescent="0.25">
      <c r="A54" s="1" t="s">
        <v>0</v>
      </c>
      <c r="B54" s="1" t="s">
        <v>1</v>
      </c>
      <c r="C54" s="2">
        <v>1</v>
      </c>
      <c r="D54" s="3">
        <f t="shared" si="13"/>
        <v>1000</v>
      </c>
      <c r="E54" s="4">
        <f t="shared" si="14"/>
        <v>700</v>
      </c>
      <c r="F54" s="2" t="s">
        <v>2</v>
      </c>
      <c r="G54" s="5">
        <f t="shared" si="15"/>
        <v>1.3116000000000001</v>
      </c>
      <c r="H54" s="6">
        <f t="shared" si="16"/>
        <v>0</v>
      </c>
      <c r="I54" s="2" t="s">
        <v>3</v>
      </c>
      <c r="J54" s="17">
        <f t="shared" ref="J54:J110" si="18">$AC$15</f>
        <v>14</v>
      </c>
      <c r="K54" s="2" t="s">
        <v>4</v>
      </c>
      <c r="L54" s="15">
        <f t="shared" ref="L54:L110" si="19">ODD($AC$11)</f>
        <v>6419</v>
      </c>
      <c r="M54" s="15">
        <f t="shared" ref="M54:M110" si="20">ODD($AC$12)</f>
        <v>4281</v>
      </c>
      <c r="N54" s="2" t="s">
        <v>5</v>
      </c>
      <c r="O54" s="2" t="s">
        <v>6</v>
      </c>
      <c r="P54" s="2">
        <v>27.5</v>
      </c>
      <c r="Q54" s="2">
        <v>30</v>
      </c>
      <c r="R54" s="18">
        <v>600</v>
      </c>
      <c r="S54" s="2">
        <v>5</v>
      </c>
      <c r="T54" s="2" t="s">
        <v>7</v>
      </c>
      <c r="U54" s="9">
        <f t="shared" si="17"/>
        <v>0.53200000000000003</v>
      </c>
      <c r="V54" s="2" t="s">
        <v>8</v>
      </c>
      <c r="W54" s="2" t="s">
        <v>9</v>
      </c>
      <c r="X54" s="10" t="str">
        <f t="shared" ref="X54:X110" si="21">CONCATENATE("Column_div2_","L",ROUNDDOWN(D54,3),"_","N",J54,"_","b",L54,"_","g",M54,"_","fi_",R54,"_","lmd",U54,"_","T",P54,"_",Q54,"_",A54)</f>
        <v>Column_div2_L1000_N14_b6419_g4281_fi_600_lmd0.532_T27.5_30_mbs_ang_0_v5</v>
      </c>
      <c r="Y54" s="2" t="s">
        <v>10</v>
      </c>
    </row>
    <row r="55" spans="1:34" x14ac:dyDescent="0.25">
      <c r="A55" s="1" t="s">
        <v>0</v>
      </c>
      <c r="B55" s="1" t="s">
        <v>1</v>
      </c>
      <c r="C55" s="2">
        <v>1</v>
      </c>
      <c r="D55" s="3">
        <f t="shared" si="13"/>
        <v>1000</v>
      </c>
      <c r="E55" s="4">
        <f t="shared" si="14"/>
        <v>700</v>
      </c>
      <c r="F55" s="2" t="s">
        <v>2</v>
      </c>
      <c r="G55" s="5">
        <f t="shared" si="15"/>
        <v>1.3116000000000001</v>
      </c>
      <c r="H55" s="6">
        <f t="shared" si="16"/>
        <v>0</v>
      </c>
      <c r="I55" s="2" t="s">
        <v>3</v>
      </c>
      <c r="J55" s="17">
        <f t="shared" si="18"/>
        <v>14</v>
      </c>
      <c r="K55" s="2" t="s">
        <v>4</v>
      </c>
      <c r="L55" s="15">
        <f t="shared" si="19"/>
        <v>6419</v>
      </c>
      <c r="M55" s="15">
        <f t="shared" si="20"/>
        <v>4281</v>
      </c>
      <c r="N55" s="2" t="s">
        <v>5</v>
      </c>
      <c r="O55" s="2" t="s">
        <v>6</v>
      </c>
      <c r="P55" s="2">
        <v>30</v>
      </c>
      <c r="Q55" s="2">
        <v>32.5</v>
      </c>
      <c r="R55" s="18">
        <v>600</v>
      </c>
      <c r="S55" s="2">
        <v>5</v>
      </c>
      <c r="T55" s="2" t="s">
        <v>7</v>
      </c>
      <c r="U55" s="9">
        <f t="shared" si="17"/>
        <v>0.53200000000000003</v>
      </c>
      <c r="V55" s="2" t="s">
        <v>8</v>
      </c>
      <c r="W55" s="2" t="s">
        <v>9</v>
      </c>
      <c r="X55" s="10" t="str">
        <f t="shared" si="21"/>
        <v>Column_div2_L1000_N14_b6419_g4281_fi_600_lmd0.532_T30_32.5_mbs_ang_0_v5</v>
      </c>
      <c r="Y55" s="2" t="s">
        <v>10</v>
      </c>
    </row>
    <row r="56" spans="1:34" x14ac:dyDescent="0.25">
      <c r="A56" s="1" t="s">
        <v>0</v>
      </c>
      <c r="B56" s="1" t="s">
        <v>1</v>
      </c>
      <c r="C56" s="2">
        <v>1</v>
      </c>
      <c r="D56" s="3">
        <f t="shared" si="13"/>
        <v>1000</v>
      </c>
      <c r="E56" s="4">
        <f t="shared" si="14"/>
        <v>700</v>
      </c>
      <c r="F56" s="2" t="s">
        <v>2</v>
      </c>
      <c r="G56" s="5">
        <f t="shared" si="15"/>
        <v>1.3116000000000001</v>
      </c>
      <c r="H56" s="6">
        <f t="shared" si="16"/>
        <v>0</v>
      </c>
      <c r="I56" s="2" t="s">
        <v>3</v>
      </c>
      <c r="J56" s="17">
        <f t="shared" si="18"/>
        <v>14</v>
      </c>
      <c r="K56" s="2" t="s">
        <v>4</v>
      </c>
      <c r="L56" s="15">
        <f t="shared" si="19"/>
        <v>6419</v>
      </c>
      <c r="M56" s="15">
        <f t="shared" si="20"/>
        <v>4281</v>
      </c>
      <c r="N56" s="2" t="s">
        <v>5</v>
      </c>
      <c r="O56" s="2" t="s">
        <v>6</v>
      </c>
      <c r="P56" s="2">
        <v>32.5</v>
      </c>
      <c r="Q56" s="2">
        <v>35</v>
      </c>
      <c r="R56" s="18">
        <v>600</v>
      </c>
      <c r="S56" s="2">
        <v>5</v>
      </c>
      <c r="T56" s="2" t="s">
        <v>7</v>
      </c>
      <c r="U56" s="9">
        <f t="shared" si="17"/>
        <v>0.53200000000000003</v>
      </c>
      <c r="V56" s="2" t="s">
        <v>8</v>
      </c>
      <c r="W56" s="2" t="s">
        <v>9</v>
      </c>
      <c r="X56" s="10" t="str">
        <f t="shared" si="21"/>
        <v>Column_div2_L1000_N14_b6419_g4281_fi_600_lmd0.532_T32.5_35_mbs_ang_0_v5</v>
      </c>
      <c r="Y56" s="2" t="s">
        <v>10</v>
      </c>
    </row>
    <row r="57" spans="1:34" x14ac:dyDescent="0.25">
      <c r="A57" s="1" t="s">
        <v>0</v>
      </c>
      <c r="B57" s="1" t="s">
        <v>1</v>
      </c>
      <c r="C57" s="2">
        <v>1</v>
      </c>
      <c r="D57" s="3">
        <f t="shared" si="13"/>
        <v>1000</v>
      </c>
      <c r="E57" s="4">
        <f t="shared" si="14"/>
        <v>700</v>
      </c>
      <c r="F57" s="2" t="s">
        <v>2</v>
      </c>
      <c r="G57" s="5">
        <f t="shared" si="15"/>
        <v>1.3116000000000001</v>
      </c>
      <c r="H57" s="6">
        <f t="shared" si="16"/>
        <v>0</v>
      </c>
      <c r="I57" s="2" t="s">
        <v>3</v>
      </c>
      <c r="J57" s="17">
        <f t="shared" si="18"/>
        <v>14</v>
      </c>
      <c r="K57" s="2" t="s">
        <v>4</v>
      </c>
      <c r="L57" s="15">
        <f t="shared" si="19"/>
        <v>6419</v>
      </c>
      <c r="M57" s="15">
        <f t="shared" si="20"/>
        <v>4281</v>
      </c>
      <c r="N57" s="2" t="s">
        <v>5</v>
      </c>
      <c r="O57" s="2" t="s">
        <v>6</v>
      </c>
      <c r="P57" s="2">
        <v>35</v>
      </c>
      <c r="Q57" s="2">
        <v>37.5</v>
      </c>
      <c r="R57" s="18">
        <v>600</v>
      </c>
      <c r="S57" s="2">
        <v>5</v>
      </c>
      <c r="T57" s="2" t="s">
        <v>7</v>
      </c>
      <c r="U57" s="9">
        <f t="shared" si="17"/>
        <v>0.53200000000000003</v>
      </c>
      <c r="V57" s="2" t="s">
        <v>8</v>
      </c>
      <c r="W57" s="2" t="s">
        <v>9</v>
      </c>
      <c r="X57" s="10" t="str">
        <f t="shared" si="21"/>
        <v>Column_div2_L1000_N14_b6419_g4281_fi_600_lmd0.532_T35_37.5_mbs_ang_0_v5</v>
      </c>
      <c r="Y57" s="2" t="s">
        <v>10</v>
      </c>
    </row>
    <row r="58" spans="1:34" x14ac:dyDescent="0.25">
      <c r="A58" s="1" t="s">
        <v>0</v>
      </c>
      <c r="B58" s="1" t="s">
        <v>1</v>
      </c>
      <c r="C58" s="2">
        <v>1</v>
      </c>
      <c r="D58" s="3">
        <f t="shared" si="13"/>
        <v>1000</v>
      </c>
      <c r="E58" s="4">
        <f t="shared" si="14"/>
        <v>700</v>
      </c>
      <c r="F58" s="2" t="s">
        <v>2</v>
      </c>
      <c r="G58" s="5">
        <f t="shared" si="15"/>
        <v>1.3116000000000001</v>
      </c>
      <c r="H58" s="6">
        <f t="shared" si="16"/>
        <v>0</v>
      </c>
      <c r="I58" s="2" t="s">
        <v>3</v>
      </c>
      <c r="J58" s="17">
        <f t="shared" si="18"/>
        <v>14</v>
      </c>
      <c r="K58" s="2" t="s">
        <v>4</v>
      </c>
      <c r="L58" s="15">
        <f>ODD($AC$11)</f>
        <v>6419</v>
      </c>
      <c r="M58" s="15">
        <f>ODD($AC$12)</f>
        <v>4281</v>
      </c>
      <c r="N58" s="2" t="s">
        <v>5</v>
      </c>
      <c r="O58" s="2" t="s">
        <v>6</v>
      </c>
      <c r="P58" s="2">
        <v>37.5</v>
      </c>
      <c r="Q58" s="2">
        <v>40</v>
      </c>
      <c r="R58" s="18">
        <v>600</v>
      </c>
      <c r="S58" s="2">
        <v>5</v>
      </c>
      <c r="T58" s="2" t="s">
        <v>7</v>
      </c>
      <c r="U58" s="9">
        <f t="shared" si="17"/>
        <v>0.53200000000000003</v>
      </c>
      <c r="V58" s="2" t="s">
        <v>8</v>
      </c>
      <c r="W58" s="2" t="s">
        <v>9</v>
      </c>
      <c r="X58" s="10" t="str">
        <f t="shared" si="21"/>
        <v>Column_div2_L1000_N14_b6419_g4281_fi_600_lmd0.532_T37.5_40_mbs_ang_0_v5</v>
      </c>
      <c r="Y58" s="2" t="s">
        <v>10</v>
      </c>
    </row>
    <row r="59" spans="1:34" x14ac:dyDescent="0.25">
      <c r="A59" s="1" t="s">
        <v>0</v>
      </c>
      <c r="B59" s="1" t="s">
        <v>1</v>
      </c>
      <c r="C59" s="2">
        <v>1</v>
      </c>
      <c r="D59" s="3">
        <f t="shared" si="13"/>
        <v>1000</v>
      </c>
      <c r="E59" s="4">
        <f t="shared" si="14"/>
        <v>700</v>
      </c>
      <c r="F59" s="2" t="s">
        <v>2</v>
      </c>
      <c r="G59" s="5">
        <f t="shared" si="15"/>
        <v>1.3116000000000001</v>
      </c>
      <c r="H59" s="6">
        <f t="shared" si="16"/>
        <v>0</v>
      </c>
      <c r="I59" s="2" t="s">
        <v>3</v>
      </c>
      <c r="J59" s="17">
        <f t="shared" si="18"/>
        <v>14</v>
      </c>
      <c r="K59" s="2" t="s">
        <v>4</v>
      </c>
      <c r="L59" s="15">
        <f t="shared" si="19"/>
        <v>6419</v>
      </c>
      <c r="M59" s="15">
        <f t="shared" si="20"/>
        <v>4281</v>
      </c>
      <c r="N59" s="2" t="s">
        <v>5</v>
      </c>
      <c r="O59" s="2" t="s">
        <v>6</v>
      </c>
      <c r="P59" s="2">
        <v>40</v>
      </c>
      <c r="Q59" s="2">
        <v>42.5</v>
      </c>
      <c r="R59" s="18">
        <v>600</v>
      </c>
      <c r="S59" s="2">
        <v>5</v>
      </c>
      <c r="T59" s="2" t="s">
        <v>7</v>
      </c>
      <c r="U59" s="9">
        <f t="shared" si="17"/>
        <v>0.53200000000000003</v>
      </c>
      <c r="V59" s="2" t="s">
        <v>8</v>
      </c>
      <c r="W59" s="2" t="s">
        <v>9</v>
      </c>
      <c r="X59" s="10" t="str">
        <f t="shared" si="21"/>
        <v>Column_div2_L1000_N14_b6419_g4281_fi_600_lmd0.532_T40_42.5_mbs_ang_0_v5</v>
      </c>
      <c r="Y59" s="2" t="s">
        <v>10</v>
      </c>
    </row>
    <row r="60" spans="1:34" x14ac:dyDescent="0.25">
      <c r="A60" s="1" t="s">
        <v>0</v>
      </c>
      <c r="B60" s="1" t="s">
        <v>1</v>
      </c>
      <c r="C60" s="2">
        <v>1</v>
      </c>
      <c r="D60" s="3">
        <f t="shared" si="13"/>
        <v>1000</v>
      </c>
      <c r="E60" s="4">
        <f t="shared" si="14"/>
        <v>700</v>
      </c>
      <c r="F60" s="2" t="s">
        <v>2</v>
      </c>
      <c r="G60" s="5">
        <f t="shared" si="15"/>
        <v>1.3116000000000001</v>
      </c>
      <c r="H60" s="6">
        <f t="shared" si="16"/>
        <v>0</v>
      </c>
      <c r="I60" s="2" t="s">
        <v>3</v>
      </c>
      <c r="J60" s="17">
        <f t="shared" si="18"/>
        <v>14</v>
      </c>
      <c r="K60" s="2" t="s">
        <v>4</v>
      </c>
      <c r="L60" s="15">
        <f t="shared" si="19"/>
        <v>6419</v>
      </c>
      <c r="M60" s="15">
        <f t="shared" si="20"/>
        <v>4281</v>
      </c>
      <c r="N60" s="2" t="s">
        <v>5</v>
      </c>
      <c r="O60" s="2" t="s">
        <v>6</v>
      </c>
      <c r="P60" s="2">
        <v>42.5</v>
      </c>
      <c r="Q60" s="2">
        <v>45</v>
      </c>
      <c r="R60" s="18">
        <v>600</v>
      </c>
      <c r="S60" s="2">
        <v>5</v>
      </c>
      <c r="T60" s="2" t="s">
        <v>7</v>
      </c>
      <c r="U60" s="9">
        <f t="shared" si="17"/>
        <v>0.53200000000000003</v>
      </c>
      <c r="V60" s="2" t="s">
        <v>8</v>
      </c>
      <c r="W60" s="2" t="s">
        <v>9</v>
      </c>
      <c r="X60" s="10" t="str">
        <f t="shared" si="21"/>
        <v>Column_div2_L1000_N14_b6419_g4281_fi_600_lmd0.532_T42.5_45_mbs_ang_0_v5</v>
      </c>
      <c r="Y60" s="2" t="s">
        <v>10</v>
      </c>
    </row>
    <row r="61" spans="1:34" x14ac:dyDescent="0.25">
      <c r="A61" s="1" t="s">
        <v>0</v>
      </c>
      <c r="B61" s="1" t="s">
        <v>1</v>
      </c>
      <c r="C61" s="2">
        <v>1</v>
      </c>
      <c r="D61" s="3">
        <f t="shared" si="13"/>
        <v>1000</v>
      </c>
      <c r="E61" s="4">
        <f t="shared" si="14"/>
        <v>700</v>
      </c>
      <c r="F61" s="2" t="s">
        <v>2</v>
      </c>
      <c r="G61" s="5">
        <f t="shared" si="15"/>
        <v>1.3116000000000001</v>
      </c>
      <c r="H61" s="6">
        <f t="shared" si="16"/>
        <v>0</v>
      </c>
      <c r="I61" s="2" t="s">
        <v>3</v>
      </c>
      <c r="J61" s="17">
        <f t="shared" si="18"/>
        <v>14</v>
      </c>
      <c r="K61" s="2" t="s">
        <v>4</v>
      </c>
      <c r="L61" s="15">
        <f t="shared" si="19"/>
        <v>6419</v>
      </c>
      <c r="M61" s="15">
        <f t="shared" si="20"/>
        <v>4281</v>
      </c>
      <c r="N61" s="2" t="s">
        <v>5</v>
      </c>
      <c r="O61" s="2" t="s">
        <v>6</v>
      </c>
      <c r="P61" s="2">
        <v>45</v>
      </c>
      <c r="Q61" s="2">
        <v>47.5</v>
      </c>
      <c r="R61" s="18">
        <v>600</v>
      </c>
      <c r="S61" s="2">
        <v>5</v>
      </c>
      <c r="T61" s="2" t="s">
        <v>7</v>
      </c>
      <c r="U61" s="9">
        <f t="shared" si="17"/>
        <v>0.53200000000000003</v>
      </c>
      <c r="V61" s="2" t="s">
        <v>8</v>
      </c>
      <c r="W61" s="2" t="s">
        <v>9</v>
      </c>
      <c r="X61" s="10" t="str">
        <f t="shared" si="21"/>
        <v>Column_div2_L1000_N14_b6419_g4281_fi_600_lmd0.532_T45_47.5_mbs_ang_0_v5</v>
      </c>
      <c r="Y61" s="2" t="s">
        <v>10</v>
      </c>
    </row>
    <row r="62" spans="1:34" x14ac:dyDescent="0.25">
      <c r="A62" s="1" t="s">
        <v>0</v>
      </c>
      <c r="B62" s="1" t="s">
        <v>1</v>
      </c>
      <c r="C62" s="2">
        <v>1</v>
      </c>
      <c r="D62" s="3">
        <f t="shared" si="13"/>
        <v>1000</v>
      </c>
      <c r="E62" s="4">
        <f t="shared" si="14"/>
        <v>700</v>
      </c>
      <c r="F62" s="2" t="s">
        <v>2</v>
      </c>
      <c r="G62" s="5">
        <f t="shared" si="15"/>
        <v>1.3116000000000001</v>
      </c>
      <c r="H62" s="6">
        <f t="shared" si="16"/>
        <v>0</v>
      </c>
      <c r="I62" s="2" t="s">
        <v>3</v>
      </c>
      <c r="J62" s="17">
        <f t="shared" si="18"/>
        <v>14</v>
      </c>
      <c r="K62" s="2" t="s">
        <v>4</v>
      </c>
      <c r="L62" s="15">
        <f t="shared" si="19"/>
        <v>6419</v>
      </c>
      <c r="M62" s="15">
        <f t="shared" si="20"/>
        <v>4281</v>
      </c>
      <c r="N62" s="2" t="s">
        <v>5</v>
      </c>
      <c r="O62" s="2" t="s">
        <v>6</v>
      </c>
      <c r="P62" s="2">
        <v>47.5</v>
      </c>
      <c r="Q62" s="2">
        <v>50</v>
      </c>
      <c r="R62" s="18">
        <v>600</v>
      </c>
      <c r="S62" s="2">
        <v>5</v>
      </c>
      <c r="T62" s="2" t="s">
        <v>7</v>
      </c>
      <c r="U62" s="9">
        <f t="shared" si="17"/>
        <v>0.53200000000000003</v>
      </c>
      <c r="V62" s="2" t="s">
        <v>8</v>
      </c>
      <c r="W62" s="2" t="s">
        <v>9</v>
      </c>
      <c r="X62" s="10" t="str">
        <f t="shared" si="21"/>
        <v>Column_div2_L1000_N14_b6419_g4281_fi_600_lmd0.532_T47.5_50_mbs_ang_0_v5</v>
      </c>
      <c r="Y62" s="2" t="s">
        <v>10</v>
      </c>
    </row>
    <row r="63" spans="1:34" x14ac:dyDescent="0.25">
      <c r="A63" s="1" t="s">
        <v>0</v>
      </c>
      <c r="B63" s="1" t="s">
        <v>1</v>
      </c>
      <c r="C63" s="2">
        <v>1</v>
      </c>
      <c r="D63" s="3">
        <f t="shared" si="13"/>
        <v>1000</v>
      </c>
      <c r="E63" s="4">
        <f t="shared" si="14"/>
        <v>700</v>
      </c>
      <c r="F63" s="2" t="s">
        <v>2</v>
      </c>
      <c r="G63" s="5">
        <f t="shared" si="15"/>
        <v>1.3116000000000001</v>
      </c>
      <c r="H63" s="6">
        <f t="shared" si="16"/>
        <v>0</v>
      </c>
      <c r="I63" s="2" t="s">
        <v>3</v>
      </c>
      <c r="J63" s="17">
        <f t="shared" si="18"/>
        <v>14</v>
      </c>
      <c r="K63" s="2" t="s">
        <v>4</v>
      </c>
      <c r="L63" s="15">
        <f t="shared" si="19"/>
        <v>6419</v>
      </c>
      <c r="M63" s="15">
        <f t="shared" si="20"/>
        <v>4281</v>
      </c>
      <c r="N63" s="2" t="s">
        <v>5</v>
      </c>
      <c r="O63" s="2" t="s">
        <v>6</v>
      </c>
      <c r="P63" s="2">
        <v>50</v>
      </c>
      <c r="Q63" s="2">
        <v>52.5</v>
      </c>
      <c r="R63" s="18">
        <v>600</v>
      </c>
      <c r="S63" s="2">
        <v>5</v>
      </c>
      <c r="T63" s="2" t="s">
        <v>7</v>
      </c>
      <c r="U63" s="9">
        <f t="shared" si="17"/>
        <v>0.53200000000000003</v>
      </c>
      <c r="V63" s="2" t="s">
        <v>8</v>
      </c>
      <c r="W63" s="2" t="s">
        <v>9</v>
      </c>
      <c r="X63" s="10" t="str">
        <f t="shared" si="21"/>
        <v>Column_div2_L1000_N14_b6419_g4281_fi_600_lmd0.532_T50_52.5_mbs_ang_0_v5</v>
      </c>
      <c r="Y63" s="2" t="s">
        <v>10</v>
      </c>
    </row>
    <row r="64" spans="1:34" x14ac:dyDescent="0.25">
      <c r="A64" s="1" t="s">
        <v>0</v>
      </c>
      <c r="B64" s="1" t="s">
        <v>1</v>
      </c>
      <c r="C64" s="2">
        <v>1</v>
      </c>
      <c r="D64" s="3">
        <f t="shared" si="13"/>
        <v>1000</v>
      </c>
      <c r="E64" s="4">
        <f t="shared" si="14"/>
        <v>700</v>
      </c>
      <c r="F64" s="2" t="s">
        <v>2</v>
      </c>
      <c r="G64" s="5">
        <f t="shared" si="15"/>
        <v>1.3116000000000001</v>
      </c>
      <c r="H64" s="6">
        <f t="shared" si="16"/>
        <v>0</v>
      </c>
      <c r="I64" s="2" t="s">
        <v>3</v>
      </c>
      <c r="J64" s="17">
        <f t="shared" si="18"/>
        <v>14</v>
      </c>
      <c r="K64" s="2" t="s">
        <v>4</v>
      </c>
      <c r="L64" s="15">
        <f t="shared" si="19"/>
        <v>6419</v>
      </c>
      <c r="M64" s="15">
        <f t="shared" si="20"/>
        <v>4281</v>
      </c>
      <c r="N64" s="2" t="s">
        <v>5</v>
      </c>
      <c r="O64" s="2" t="s">
        <v>6</v>
      </c>
      <c r="P64" s="2">
        <v>52.5</v>
      </c>
      <c r="Q64" s="2">
        <v>55</v>
      </c>
      <c r="R64" s="18">
        <v>600</v>
      </c>
      <c r="S64" s="2">
        <v>5</v>
      </c>
      <c r="T64" s="2" t="s">
        <v>7</v>
      </c>
      <c r="U64" s="9">
        <f t="shared" si="17"/>
        <v>0.53200000000000003</v>
      </c>
      <c r="V64" s="2" t="s">
        <v>8</v>
      </c>
      <c r="W64" s="2" t="s">
        <v>9</v>
      </c>
      <c r="X64" s="10" t="str">
        <f t="shared" si="21"/>
        <v>Column_div2_L1000_N14_b6419_g4281_fi_600_lmd0.532_T52.5_55_mbs_ang_0_v5</v>
      </c>
      <c r="Y64" s="2" t="s">
        <v>10</v>
      </c>
    </row>
    <row r="65" spans="1:25" x14ac:dyDescent="0.25">
      <c r="A65" s="1" t="s">
        <v>0</v>
      </c>
      <c r="B65" s="1" t="s">
        <v>1</v>
      </c>
      <c r="C65" s="2">
        <v>1</v>
      </c>
      <c r="D65" s="3">
        <f t="shared" si="13"/>
        <v>1000</v>
      </c>
      <c r="E65" s="4">
        <f t="shared" si="14"/>
        <v>700</v>
      </c>
      <c r="F65" s="2" t="s">
        <v>2</v>
      </c>
      <c r="G65" s="5">
        <f t="shared" si="15"/>
        <v>1.3116000000000001</v>
      </c>
      <c r="H65" s="6">
        <f t="shared" si="16"/>
        <v>0</v>
      </c>
      <c r="I65" s="2" t="s">
        <v>3</v>
      </c>
      <c r="J65" s="17">
        <f t="shared" si="18"/>
        <v>14</v>
      </c>
      <c r="K65" s="2" t="s">
        <v>4</v>
      </c>
      <c r="L65" s="15">
        <f t="shared" si="19"/>
        <v>6419</v>
      </c>
      <c r="M65" s="15">
        <f t="shared" si="20"/>
        <v>4281</v>
      </c>
      <c r="N65" s="2" t="s">
        <v>5</v>
      </c>
      <c r="O65" s="2" t="s">
        <v>6</v>
      </c>
      <c r="P65" s="2">
        <v>55</v>
      </c>
      <c r="Q65" s="2">
        <v>57.5</v>
      </c>
      <c r="R65" s="18">
        <v>600</v>
      </c>
      <c r="S65" s="2">
        <v>5</v>
      </c>
      <c r="T65" s="2" t="s">
        <v>7</v>
      </c>
      <c r="U65" s="9">
        <f t="shared" si="17"/>
        <v>0.53200000000000003</v>
      </c>
      <c r="V65" s="2" t="s">
        <v>8</v>
      </c>
      <c r="W65" s="2" t="s">
        <v>9</v>
      </c>
      <c r="X65" s="10" t="str">
        <f t="shared" si="21"/>
        <v>Column_div2_L1000_N14_b6419_g4281_fi_600_lmd0.532_T55_57.5_mbs_ang_0_v5</v>
      </c>
      <c r="Y65" s="2" t="s">
        <v>10</v>
      </c>
    </row>
    <row r="66" spans="1:25" x14ac:dyDescent="0.25">
      <c r="A66" s="1" t="s">
        <v>0</v>
      </c>
      <c r="B66" s="1" t="s">
        <v>1</v>
      </c>
      <c r="C66" s="2">
        <v>1</v>
      </c>
      <c r="D66" s="3">
        <f t="shared" si="13"/>
        <v>1000</v>
      </c>
      <c r="E66" s="4">
        <f t="shared" si="14"/>
        <v>700</v>
      </c>
      <c r="F66" s="2" t="s">
        <v>2</v>
      </c>
      <c r="G66" s="5">
        <f t="shared" si="15"/>
        <v>1.3116000000000001</v>
      </c>
      <c r="H66" s="6">
        <f t="shared" si="16"/>
        <v>0</v>
      </c>
      <c r="I66" s="2" t="s">
        <v>3</v>
      </c>
      <c r="J66" s="17">
        <f t="shared" si="18"/>
        <v>14</v>
      </c>
      <c r="K66" s="2" t="s">
        <v>4</v>
      </c>
      <c r="L66" s="15">
        <f t="shared" si="19"/>
        <v>6419</v>
      </c>
      <c r="M66" s="15">
        <f t="shared" si="20"/>
        <v>4281</v>
      </c>
      <c r="N66" s="2" t="s">
        <v>5</v>
      </c>
      <c r="O66" s="2" t="s">
        <v>6</v>
      </c>
      <c r="P66" s="2">
        <v>57.5</v>
      </c>
      <c r="Q66" s="2">
        <v>60</v>
      </c>
      <c r="R66" s="18">
        <v>600</v>
      </c>
      <c r="S66" s="2">
        <v>5</v>
      </c>
      <c r="T66" s="2" t="s">
        <v>7</v>
      </c>
      <c r="U66" s="9">
        <f t="shared" si="17"/>
        <v>0.53200000000000003</v>
      </c>
      <c r="V66" s="2" t="s">
        <v>8</v>
      </c>
      <c r="W66" s="2" t="s">
        <v>9</v>
      </c>
      <c r="X66" s="10" t="str">
        <f t="shared" si="21"/>
        <v>Column_div2_L1000_N14_b6419_g4281_fi_600_lmd0.532_T57.5_60_mbs_ang_0_v5</v>
      </c>
      <c r="Y66" s="2" t="s">
        <v>10</v>
      </c>
    </row>
    <row r="67" spans="1:25" x14ac:dyDescent="0.25">
      <c r="A67" s="1" t="s">
        <v>0</v>
      </c>
      <c r="B67" s="1" t="s">
        <v>1</v>
      </c>
      <c r="C67" s="2">
        <v>1</v>
      </c>
      <c r="D67" s="3">
        <f t="shared" si="13"/>
        <v>1000</v>
      </c>
      <c r="E67" s="4">
        <f t="shared" si="14"/>
        <v>700</v>
      </c>
      <c r="F67" s="2" t="s">
        <v>2</v>
      </c>
      <c r="G67" s="5">
        <f t="shared" si="15"/>
        <v>1.3116000000000001</v>
      </c>
      <c r="H67" s="6">
        <f t="shared" si="16"/>
        <v>0</v>
      </c>
      <c r="I67" s="2" t="s">
        <v>3</v>
      </c>
      <c r="J67" s="17">
        <f t="shared" si="18"/>
        <v>14</v>
      </c>
      <c r="K67" s="2" t="s">
        <v>4</v>
      </c>
      <c r="L67" s="15">
        <f t="shared" si="19"/>
        <v>6419</v>
      </c>
      <c r="M67" s="15">
        <f t="shared" si="20"/>
        <v>4281</v>
      </c>
      <c r="N67" s="2" t="s">
        <v>5</v>
      </c>
      <c r="O67" s="2" t="s">
        <v>6</v>
      </c>
      <c r="P67" s="2">
        <v>60</v>
      </c>
      <c r="Q67" s="2">
        <v>62.5</v>
      </c>
      <c r="R67" s="18">
        <v>600</v>
      </c>
      <c r="S67" s="2">
        <v>5</v>
      </c>
      <c r="T67" s="2" t="s">
        <v>7</v>
      </c>
      <c r="U67" s="9">
        <f t="shared" si="17"/>
        <v>0.53200000000000003</v>
      </c>
      <c r="V67" s="2" t="s">
        <v>8</v>
      </c>
      <c r="W67" s="2" t="s">
        <v>9</v>
      </c>
      <c r="X67" s="10" t="str">
        <f t="shared" si="21"/>
        <v>Column_div2_L1000_N14_b6419_g4281_fi_600_lmd0.532_T60_62.5_mbs_ang_0_v5</v>
      </c>
      <c r="Y67" s="2" t="s">
        <v>10</v>
      </c>
    </row>
    <row r="68" spans="1:25" x14ac:dyDescent="0.25">
      <c r="A68" s="1" t="s">
        <v>0</v>
      </c>
      <c r="B68" s="1" t="s">
        <v>1</v>
      </c>
      <c r="C68" s="2">
        <v>1</v>
      </c>
      <c r="D68" s="3">
        <f t="shared" si="13"/>
        <v>1000</v>
      </c>
      <c r="E68" s="4">
        <f t="shared" si="14"/>
        <v>700</v>
      </c>
      <c r="F68" s="2" t="s">
        <v>2</v>
      </c>
      <c r="G68" s="5">
        <f t="shared" si="15"/>
        <v>1.3116000000000001</v>
      </c>
      <c r="H68" s="6">
        <f t="shared" si="16"/>
        <v>0</v>
      </c>
      <c r="I68" s="2" t="s">
        <v>3</v>
      </c>
      <c r="J68" s="17">
        <f t="shared" si="18"/>
        <v>14</v>
      </c>
      <c r="K68" s="2" t="s">
        <v>4</v>
      </c>
      <c r="L68" s="15">
        <f t="shared" si="19"/>
        <v>6419</v>
      </c>
      <c r="M68" s="15">
        <f t="shared" si="20"/>
        <v>4281</v>
      </c>
      <c r="N68" s="2" t="s">
        <v>5</v>
      </c>
      <c r="O68" s="2" t="s">
        <v>6</v>
      </c>
      <c r="P68" s="2">
        <v>62.5</v>
      </c>
      <c r="Q68" s="2">
        <v>65</v>
      </c>
      <c r="R68" s="18">
        <v>600</v>
      </c>
      <c r="S68" s="2">
        <v>5</v>
      </c>
      <c r="T68" s="2" t="s">
        <v>7</v>
      </c>
      <c r="U68" s="9">
        <f t="shared" si="17"/>
        <v>0.53200000000000003</v>
      </c>
      <c r="V68" s="2" t="s">
        <v>8</v>
      </c>
      <c r="W68" s="2" t="s">
        <v>9</v>
      </c>
      <c r="X68" s="10" t="str">
        <f t="shared" si="21"/>
        <v>Column_div2_L1000_N14_b6419_g4281_fi_600_lmd0.532_T62.5_65_mbs_ang_0_v5</v>
      </c>
      <c r="Y68" s="2" t="s">
        <v>10</v>
      </c>
    </row>
    <row r="69" spans="1:25" x14ac:dyDescent="0.25">
      <c r="A69" s="1" t="s">
        <v>0</v>
      </c>
      <c r="B69" s="1" t="s">
        <v>1</v>
      </c>
      <c r="C69" s="2">
        <v>1</v>
      </c>
      <c r="D69" s="3">
        <f t="shared" si="13"/>
        <v>1000</v>
      </c>
      <c r="E69" s="4">
        <f t="shared" si="14"/>
        <v>700</v>
      </c>
      <c r="F69" s="2" t="s">
        <v>2</v>
      </c>
      <c r="G69" s="5">
        <f t="shared" si="15"/>
        <v>1.3116000000000001</v>
      </c>
      <c r="H69" s="6">
        <f t="shared" si="16"/>
        <v>0</v>
      </c>
      <c r="I69" s="2" t="s">
        <v>3</v>
      </c>
      <c r="J69" s="17">
        <f t="shared" si="18"/>
        <v>14</v>
      </c>
      <c r="K69" s="2" t="s">
        <v>4</v>
      </c>
      <c r="L69" s="15">
        <f t="shared" si="19"/>
        <v>6419</v>
      </c>
      <c r="M69" s="15">
        <f t="shared" si="20"/>
        <v>4281</v>
      </c>
      <c r="N69" s="2" t="s">
        <v>5</v>
      </c>
      <c r="O69" s="2" t="s">
        <v>6</v>
      </c>
      <c r="P69" s="2">
        <v>65</v>
      </c>
      <c r="Q69" s="2">
        <v>67.5</v>
      </c>
      <c r="R69" s="18">
        <v>600</v>
      </c>
      <c r="S69" s="2">
        <v>5</v>
      </c>
      <c r="T69" s="2" t="s">
        <v>7</v>
      </c>
      <c r="U69" s="9">
        <f t="shared" si="17"/>
        <v>0.53200000000000003</v>
      </c>
      <c r="V69" s="2" t="s">
        <v>8</v>
      </c>
      <c r="W69" s="2" t="s">
        <v>9</v>
      </c>
      <c r="X69" s="10" t="str">
        <f t="shared" si="21"/>
        <v>Column_div2_L1000_N14_b6419_g4281_fi_600_lmd0.532_T65_67.5_mbs_ang_0_v5</v>
      </c>
      <c r="Y69" s="2" t="s">
        <v>10</v>
      </c>
    </row>
    <row r="70" spans="1:25" x14ac:dyDescent="0.25">
      <c r="A70" s="1" t="s">
        <v>0</v>
      </c>
      <c r="B70" s="1" t="s">
        <v>1</v>
      </c>
      <c r="C70" s="2">
        <v>1</v>
      </c>
      <c r="D70" s="3">
        <f t="shared" si="13"/>
        <v>1000</v>
      </c>
      <c r="E70" s="4">
        <f t="shared" si="14"/>
        <v>700</v>
      </c>
      <c r="F70" s="2" t="s">
        <v>2</v>
      </c>
      <c r="G70" s="5">
        <f t="shared" si="15"/>
        <v>1.3116000000000001</v>
      </c>
      <c r="H70" s="6">
        <f t="shared" si="16"/>
        <v>0</v>
      </c>
      <c r="I70" s="2" t="s">
        <v>3</v>
      </c>
      <c r="J70" s="17">
        <f t="shared" si="18"/>
        <v>14</v>
      </c>
      <c r="K70" s="2" t="s">
        <v>4</v>
      </c>
      <c r="L70" s="15">
        <f t="shared" si="19"/>
        <v>6419</v>
      </c>
      <c r="M70" s="15">
        <f t="shared" si="20"/>
        <v>4281</v>
      </c>
      <c r="N70" s="2" t="s">
        <v>5</v>
      </c>
      <c r="O70" s="2" t="s">
        <v>6</v>
      </c>
      <c r="P70" s="2">
        <v>67.5</v>
      </c>
      <c r="Q70" s="2">
        <v>70</v>
      </c>
      <c r="R70" s="18">
        <v>600</v>
      </c>
      <c r="S70" s="2">
        <v>5</v>
      </c>
      <c r="T70" s="2" t="s">
        <v>7</v>
      </c>
      <c r="U70" s="9">
        <f t="shared" si="17"/>
        <v>0.53200000000000003</v>
      </c>
      <c r="V70" s="2" t="s">
        <v>8</v>
      </c>
      <c r="W70" s="2" t="s">
        <v>9</v>
      </c>
      <c r="X70" s="10" t="str">
        <f t="shared" si="21"/>
        <v>Column_div2_L1000_N14_b6419_g4281_fi_600_lmd0.532_T67.5_70_mbs_ang_0_v5</v>
      </c>
      <c r="Y70" s="2" t="s">
        <v>10</v>
      </c>
    </row>
    <row r="71" spans="1:25" x14ac:dyDescent="0.25">
      <c r="A71" s="1" t="s">
        <v>0</v>
      </c>
      <c r="B71" s="1" t="s">
        <v>1</v>
      </c>
      <c r="C71" s="2">
        <v>1</v>
      </c>
      <c r="D71" s="3">
        <f t="shared" si="13"/>
        <v>1000</v>
      </c>
      <c r="E71" s="4">
        <f t="shared" si="14"/>
        <v>700</v>
      </c>
      <c r="F71" s="2" t="s">
        <v>2</v>
      </c>
      <c r="G71" s="5">
        <f t="shared" si="15"/>
        <v>1.3116000000000001</v>
      </c>
      <c r="H71" s="6">
        <f t="shared" si="16"/>
        <v>0</v>
      </c>
      <c r="I71" s="2" t="s">
        <v>3</v>
      </c>
      <c r="J71" s="17">
        <f t="shared" si="18"/>
        <v>14</v>
      </c>
      <c r="K71" s="2" t="s">
        <v>4</v>
      </c>
      <c r="L71" s="15">
        <f t="shared" si="19"/>
        <v>6419</v>
      </c>
      <c r="M71" s="15">
        <f t="shared" si="20"/>
        <v>4281</v>
      </c>
      <c r="N71" s="2" t="s">
        <v>5</v>
      </c>
      <c r="O71" s="2" t="s">
        <v>6</v>
      </c>
      <c r="P71" s="2">
        <v>70</v>
      </c>
      <c r="Q71" s="2">
        <v>72.5</v>
      </c>
      <c r="R71" s="18">
        <v>600</v>
      </c>
      <c r="S71" s="2">
        <v>5</v>
      </c>
      <c r="T71" s="2" t="s">
        <v>7</v>
      </c>
      <c r="U71" s="9">
        <f t="shared" si="17"/>
        <v>0.53200000000000003</v>
      </c>
      <c r="V71" s="2" t="s">
        <v>8</v>
      </c>
      <c r="W71" s="2" t="s">
        <v>9</v>
      </c>
      <c r="X71" s="10" t="str">
        <f t="shared" si="21"/>
        <v>Column_div2_L1000_N14_b6419_g4281_fi_600_lmd0.532_T70_72.5_mbs_ang_0_v5</v>
      </c>
      <c r="Y71" s="2" t="s">
        <v>10</v>
      </c>
    </row>
    <row r="72" spans="1:25" x14ac:dyDescent="0.25">
      <c r="A72" s="1" t="s">
        <v>0</v>
      </c>
      <c r="B72" s="1" t="s">
        <v>1</v>
      </c>
      <c r="C72" s="2">
        <v>1</v>
      </c>
      <c r="D72" s="3">
        <f t="shared" si="13"/>
        <v>1000</v>
      </c>
      <c r="E72" s="4">
        <f t="shared" si="14"/>
        <v>700</v>
      </c>
      <c r="F72" s="2" t="s">
        <v>2</v>
      </c>
      <c r="G72" s="5">
        <f t="shared" si="15"/>
        <v>1.3116000000000001</v>
      </c>
      <c r="H72" s="6">
        <f t="shared" si="16"/>
        <v>0</v>
      </c>
      <c r="I72" s="2" t="s">
        <v>3</v>
      </c>
      <c r="J72" s="17">
        <f t="shared" si="18"/>
        <v>14</v>
      </c>
      <c r="K72" s="2" t="s">
        <v>4</v>
      </c>
      <c r="L72" s="15">
        <f t="shared" si="19"/>
        <v>6419</v>
      </c>
      <c r="M72" s="15">
        <f t="shared" si="20"/>
        <v>4281</v>
      </c>
      <c r="N72" s="2" t="s">
        <v>5</v>
      </c>
      <c r="O72" s="2" t="s">
        <v>6</v>
      </c>
      <c r="P72" s="2">
        <v>72.5</v>
      </c>
      <c r="Q72" s="2">
        <v>75</v>
      </c>
      <c r="R72" s="18">
        <v>600</v>
      </c>
      <c r="S72" s="2">
        <v>5</v>
      </c>
      <c r="T72" s="2" t="s">
        <v>7</v>
      </c>
      <c r="U72" s="9">
        <f t="shared" si="17"/>
        <v>0.53200000000000003</v>
      </c>
      <c r="V72" s="2" t="s">
        <v>8</v>
      </c>
      <c r="W72" s="2" t="s">
        <v>9</v>
      </c>
      <c r="X72" s="10" t="str">
        <f t="shared" si="21"/>
        <v>Column_div2_L1000_N14_b6419_g4281_fi_600_lmd0.532_T72.5_75_mbs_ang_0_v5</v>
      </c>
      <c r="Y72" s="2" t="s">
        <v>10</v>
      </c>
    </row>
    <row r="73" spans="1:25" x14ac:dyDescent="0.25">
      <c r="A73" s="1" t="s">
        <v>0</v>
      </c>
      <c r="B73" s="1" t="s">
        <v>1</v>
      </c>
      <c r="C73" s="2">
        <v>1</v>
      </c>
      <c r="D73" s="3">
        <f t="shared" si="13"/>
        <v>1000</v>
      </c>
      <c r="E73" s="4">
        <f t="shared" si="14"/>
        <v>700</v>
      </c>
      <c r="F73" s="2" t="s">
        <v>2</v>
      </c>
      <c r="G73" s="5">
        <f t="shared" si="15"/>
        <v>1.3116000000000001</v>
      </c>
      <c r="H73" s="6">
        <f t="shared" si="16"/>
        <v>0</v>
      </c>
      <c r="I73" s="2" t="s">
        <v>3</v>
      </c>
      <c r="J73" s="17">
        <f t="shared" si="18"/>
        <v>14</v>
      </c>
      <c r="K73" s="2" t="s">
        <v>4</v>
      </c>
      <c r="L73" s="15">
        <f t="shared" si="19"/>
        <v>6419</v>
      </c>
      <c r="M73" s="15">
        <f t="shared" si="20"/>
        <v>4281</v>
      </c>
      <c r="N73" s="2" t="s">
        <v>5</v>
      </c>
      <c r="O73" s="2" t="s">
        <v>6</v>
      </c>
      <c r="P73" s="2">
        <v>75</v>
      </c>
      <c r="Q73" s="2">
        <v>77.5</v>
      </c>
      <c r="R73" s="18">
        <v>600</v>
      </c>
      <c r="S73" s="2">
        <v>5</v>
      </c>
      <c r="T73" s="2" t="s">
        <v>7</v>
      </c>
      <c r="U73" s="9">
        <f t="shared" si="17"/>
        <v>0.53200000000000003</v>
      </c>
      <c r="V73" s="2" t="s">
        <v>8</v>
      </c>
      <c r="W73" s="2" t="s">
        <v>9</v>
      </c>
      <c r="X73" s="10" t="str">
        <f t="shared" si="21"/>
        <v>Column_div2_L1000_N14_b6419_g4281_fi_600_lmd0.532_T75_77.5_mbs_ang_0_v5</v>
      </c>
      <c r="Y73" s="2" t="s">
        <v>10</v>
      </c>
    </row>
    <row r="74" spans="1:25" x14ac:dyDescent="0.25">
      <c r="A74" s="1" t="s">
        <v>0</v>
      </c>
      <c r="B74" s="1" t="s">
        <v>1</v>
      </c>
      <c r="C74" s="2">
        <v>1</v>
      </c>
      <c r="D74" s="3">
        <f t="shared" si="13"/>
        <v>1000</v>
      </c>
      <c r="E74" s="4">
        <f t="shared" si="14"/>
        <v>700</v>
      </c>
      <c r="F74" s="2" t="s">
        <v>2</v>
      </c>
      <c r="G74" s="5">
        <f t="shared" si="15"/>
        <v>1.3116000000000001</v>
      </c>
      <c r="H74" s="6">
        <f t="shared" si="16"/>
        <v>0</v>
      </c>
      <c r="I74" s="2" t="s">
        <v>3</v>
      </c>
      <c r="J74" s="17">
        <f t="shared" si="18"/>
        <v>14</v>
      </c>
      <c r="K74" s="2" t="s">
        <v>4</v>
      </c>
      <c r="L74" s="15">
        <f t="shared" si="19"/>
        <v>6419</v>
      </c>
      <c r="M74" s="15">
        <f t="shared" si="20"/>
        <v>4281</v>
      </c>
      <c r="N74" s="2" t="s">
        <v>5</v>
      </c>
      <c r="O74" s="2" t="s">
        <v>6</v>
      </c>
      <c r="P74" s="2">
        <v>77.5</v>
      </c>
      <c r="Q74" s="2">
        <v>80</v>
      </c>
      <c r="R74" s="18">
        <v>600</v>
      </c>
      <c r="S74" s="2">
        <v>5</v>
      </c>
      <c r="T74" s="2" t="s">
        <v>7</v>
      </c>
      <c r="U74" s="9">
        <f t="shared" si="17"/>
        <v>0.53200000000000003</v>
      </c>
      <c r="V74" s="2" t="s">
        <v>8</v>
      </c>
      <c r="W74" s="2" t="s">
        <v>9</v>
      </c>
      <c r="X74" s="10" t="str">
        <f t="shared" si="21"/>
        <v>Column_div2_L1000_N14_b6419_g4281_fi_600_lmd0.532_T77.5_80_mbs_ang_0_v5</v>
      </c>
      <c r="Y74" s="2" t="s">
        <v>10</v>
      </c>
    </row>
    <row r="75" spans="1:25" x14ac:dyDescent="0.25">
      <c r="A75" s="1" t="s">
        <v>0</v>
      </c>
      <c r="B75" s="1" t="s">
        <v>1</v>
      </c>
      <c r="C75" s="2">
        <v>1</v>
      </c>
      <c r="D75" s="3">
        <f t="shared" si="13"/>
        <v>1000</v>
      </c>
      <c r="E75" s="4">
        <f t="shared" si="14"/>
        <v>700</v>
      </c>
      <c r="F75" s="2" t="s">
        <v>2</v>
      </c>
      <c r="G75" s="5">
        <f t="shared" si="15"/>
        <v>1.3116000000000001</v>
      </c>
      <c r="H75" s="6">
        <f t="shared" si="16"/>
        <v>0</v>
      </c>
      <c r="I75" s="2" t="s">
        <v>3</v>
      </c>
      <c r="J75" s="17">
        <f t="shared" si="18"/>
        <v>14</v>
      </c>
      <c r="K75" s="2" t="s">
        <v>4</v>
      </c>
      <c r="L75" s="15">
        <f t="shared" si="19"/>
        <v>6419</v>
      </c>
      <c r="M75" s="15">
        <f t="shared" si="20"/>
        <v>4281</v>
      </c>
      <c r="N75" s="2" t="s">
        <v>5</v>
      </c>
      <c r="O75" s="2" t="s">
        <v>6</v>
      </c>
      <c r="P75" s="2">
        <v>80</v>
      </c>
      <c r="Q75" s="2">
        <v>82.5</v>
      </c>
      <c r="R75" s="18">
        <v>600</v>
      </c>
      <c r="S75" s="2">
        <v>5</v>
      </c>
      <c r="T75" s="2" t="s">
        <v>7</v>
      </c>
      <c r="U75" s="9">
        <f t="shared" si="17"/>
        <v>0.53200000000000003</v>
      </c>
      <c r="V75" s="2" t="s">
        <v>8</v>
      </c>
      <c r="W75" s="2" t="s">
        <v>9</v>
      </c>
      <c r="X75" s="10" t="str">
        <f t="shared" si="21"/>
        <v>Column_div2_L1000_N14_b6419_g4281_fi_600_lmd0.532_T80_82.5_mbs_ang_0_v5</v>
      </c>
      <c r="Y75" s="2" t="s">
        <v>10</v>
      </c>
    </row>
    <row r="76" spans="1:25" x14ac:dyDescent="0.25">
      <c r="A76" s="1" t="s">
        <v>0</v>
      </c>
      <c r="B76" s="1" t="s">
        <v>1</v>
      </c>
      <c r="C76" s="2">
        <v>1</v>
      </c>
      <c r="D76" s="3">
        <f t="shared" si="13"/>
        <v>1000</v>
      </c>
      <c r="E76" s="4">
        <f t="shared" si="14"/>
        <v>700</v>
      </c>
      <c r="F76" s="2" t="s">
        <v>2</v>
      </c>
      <c r="G76" s="5">
        <f t="shared" si="15"/>
        <v>1.3116000000000001</v>
      </c>
      <c r="H76" s="6">
        <f t="shared" si="16"/>
        <v>0</v>
      </c>
      <c r="I76" s="2" t="s">
        <v>3</v>
      </c>
      <c r="J76" s="17">
        <f t="shared" si="18"/>
        <v>14</v>
      </c>
      <c r="K76" s="2" t="s">
        <v>4</v>
      </c>
      <c r="L76" s="15">
        <f t="shared" si="19"/>
        <v>6419</v>
      </c>
      <c r="M76" s="15">
        <f t="shared" si="20"/>
        <v>4281</v>
      </c>
      <c r="N76" s="2" t="s">
        <v>5</v>
      </c>
      <c r="O76" s="2" t="s">
        <v>6</v>
      </c>
      <c r="P76" s="2">
        <v>82.5</v>
      </c>
      <c r="Q76" s="2">
        <v>85</v>
      </c>
      <c r="R76" s="18">
        <v>600</v>
      </c>
      <c r="S76" s="2">
        <v>5</v>
      </c>
      <c r="T76" s="2" t="s">
        <v>7</v>
      </c>
      <c r="U76" s="9">
        <f t="shared" si="17"/>
        <v>0.53200000000000003</v>
      </c>
      <c r="V76" s="2" t="s">
        <v>8</v>
      </c>
      <c r="W76" s="2" t="s">
        <v>9</v>
      </c>
      <c r="X76" s="10" t="str">
        <f t="shared" si="21"/>
        <v>Column_div2_L1000_N14_b6419_g4281_fi_600_lmd0.532_T82.5_85_mbs_ang_0_v5</v>
      </c>
      <c r="Y76" s="2" t="s">
        <v>10</v>
      </c>
    </row>
    <row r="77" spans="1:25" x14ac:dyDescent="0.25">
      <c r="A77" s="1" t="s">
        <v>0</v>
      </c>
      <c r="B77" s="1" t="s">
        <v>1</v>
      </c>
      <c r="C77" s="2">
        <v>1</v>
      </c>
      <c r="D77" s="3">
        <f t="shared" si="13"/>
        <v>1000</v>
      </c>
      <c r="E77" s="4">
        <f t="shared" si="14"/>
        <v>700</v>
      </c>
      <c r="F77" s="2" t="s">
        <v>2</v>
      </c>
      <c r="G77" s="5">
        <f t="shared" si="15"/>
        <v>1.3116000000000001</v>
      </c>
      <c r="H77" s="6">
        <f t="shared" si="16"/>
        <v>0</v>
      </c>
      <c r="I77" s="2" t="s">
        <v>3</v>
      </c>
      <c r="J77" s="17">
        <f t="shared" si="18"/>
        <v>14</v>
      </c>
      <c r="K77" s="2" t="s">
        <v>4</v>
      </c>
      <c r="L77" s="15">
        <f t="shared" si="19"/>
        <v>6419</v>
      </c>
      <c r="M77" s="15">
        <f t="shared" si="20"/>
        <v>4281</v>
      </c>
      <c r="N77" s="2" t="s">
        <v>5</v>
      </c>
      <c r="O77" s="2" t="s">
        <v>6</v>
      </c>
      <c r="P77" s="2">
        <v>85</v>
      </c>
      <c r="Q77" s="2">
        <v>87.5</v>
      </c>
      <c r="R77" s="18">
        <v>600</v>
      </c>
      <c r="S77" s="2">
        <v>5</v>
      </c>
      <c r="T77" s="2" t="s">
        <v>7</v>
      </c>
      <c r="U77" s="9">
        <f t="shared" si="17"/>
        <v>0.53200000000000003</v>
      </c>
      <c r="V77" s="2" t="s">
        <v>8</v>
      </c>
      <c r="W77" s="2" t="s">
        <v>9</v>
      </c>
      <c r="X77" s="10" t="str">
        <f t="shared" si="21"/>
        <v>Column_div2_L1000_N14_b6419_g4281_fi_600_lmd0.532_T85_87.5_mbs_ang_0_v5</v>
      </c>
      <c r="Y77" s="2" t="s">
        <v>10</v>
      </c>
    </row>
    <row r="78" spans="1:25" x14ac:dyDescent="0.25">
      <c r="A78" s="1" t="s">
        <v>0</v>
      </c>
      <c r="B78" s="1" t="s">
        <v>1</v>
      </c>
      <c r="C78" s="2">
        <v>1</v>
      </c>
      <c r="D78" s="3">
        <f t="shared" si="13"/>
        <v>1000</v>
      </c>
      <c r="E78" s="4">
        <f t="shared" si="14"/>
        <v>700</v>
      </c>
      <c r="F78" s="2" t="s">
        <v>2</v>
      </c>
      <c r="G78" s="5">
        <f t="shared" si="15"/>
        <v>1.3116000000000001</v>
      </c>
      <c r="H78" s="6">
        <f t="shared" si="16"/>
        <v>0</v>
      </c>
      <c r="I78" s="2" t="s">
        <v>3</v>
      </c>
      <c r="J78" s="17">
        <f t="shared" si="18"/>
        <v>14</v>
      </c>
      <c r="K78" s="2" t="s">
        <v>4</v>
      </c>
      <c r="L78" s="15">
        <f t="shared" si="19"/>
        <v>6419</v>
      </c>
      <c r="M78" s="15">
        <f t="shared" si="20"/>
        <v>4281</v>
      </c>
      <c r="N78" s="2" t="s">
        <v>5</v>
      </c>
      <c r="O78" s="2" t="s">
        <v>6</v>
      </c>
      <c r="P78" s="2">
        <v>87.5</v>
      </c>
      <c r="Q78" s="2">
        <v>90</v>
      </c>
      <c r="R78" s="18">
        <v>600</v>
      </c>
      <c r="S78" s="2">
        <v>5</v>
      </c>
      <c r="T78" s="2" t="s">
        <v>7</v>
      </c>
      <c r="U78" s="9">
        <f t="shared" si="17"/>
        <v>0.53200000000000003</v>
      </c>
      <c r="V78" s="2" t="s">
        <v>8</v>
      </c>
      <c r="W78" s="2" t="s">
        <v>9</v>
      </c>
      <c r="X78" s="10" t="str">
        <f t="shared" si="21"/>
        <v>Column_div2_L1000_N14_b6419_g4281_fi_600_lmd0.532_T87.5_90_mbs_ang_0_v5</v>
      </c>
      <c r="Y78" s="2" t="s">
        <v>10</v>
      </c>
    </row>
    <row r="79" spans="1:25" x14ac:dyDescent="0.25">
      <c r="A79" s="1" t="s">
        <v>0</v>
      </c>
      <c r="B79" s="1" t="s">
        <v>1</v>
      </c>
      <c r="C79" s="2">
        <v>1</v>
      </c>
      <c r="D79" s="3">
        <f t="shared" si="13"/>
        <v>1000</v>
      </c>
      <c r="E79" s="4">
        <f t="shared" si="14"/>
        <v>700</v>
      </c>
      <c r="F79" s="2" t="s">
        <v>2</v>
      </c>
      <c r="G79" s="5">
        <f t="shared" si="15"/>
        <v>1.3116000000000001</v>
      </c>
      <c r="H79" s="6">
        <f t="shared" si="16"/>
        <v>0</v>
      </c>
      <c r="I79" s="2" t="s">
        <v>3</v>
      </c>
      <c r="J79" s="17">
        <f t="shared" si="18"/>
        <v>14</v>
      </c>
      <c r="K79" s="2" t="s">
        <v>4</v>
      </c>
      <c r="L79" s="15">
        <f t="shared" si="19"/>
        <v>6419</v>
      </c>
      <c r="M79" s="15">
        <f t="shared" si="20"/>
        <v>4281</v>
      </c>
      <c r="N79" s="2" t="s">
        <v>5</v>
      </c>
      <c r="O79" s="2" t="s">
        <v>6</v>
      </c>
      <c r="P79" s="2">
        <v>90</v>
      </c>
      <c r="Q79" s="2">
        <v>92.5</v>
      </c>
      <c r="R79" s="18">
        <v>600</v>
      </c>
      <c r="S79" s="2">
        <v>5</v>
      </c>
      <c r="T79" s="2" t="s">
        <v>7</v>
      </c>
      <c r="U79" s="9">
        <f t="shared" si="17"/>
        <v>0.53200000000000003</v>
      </c>
      <c r="V79" s="2" t="s">
        <v>8</v>
      </c>
      <c r="W79" s="2" t="s">
        <v>9</v>
      </c>
      <c r="X79" s="10" t="str">
        <f t="shared" si="21"/>
        <v>Column_div2_L1000_N14_b6419_g4281_fi_600_lmd0.532_T90_92.5_mbs_ang_0_v5</v>
      </c>
      <c r="Y79" s="2" t="s">
        <v>10</v>
      </c>
    </row>
    <row r="80" spans="1:25" x14ac:dyDescent="0.25">
      <c r="A80" s="1" t="s">
        <v>0</v>
      </c>
      <c r="B80" s="1" t="s">
        <v>1</v>
      </c>
      <c r="C80" s="2">
        <v>1</v>
      </c>
      <c r="D80" s="3">
        <f t="shared" si="13"/>
        <v>1000</v>
      </c>
      <c r="E80" s="4">
        <f t="shared" si="14"/>
        <v>700</v>
      </c>
      <c r="F80" s="2" t="s">
        <v>2</v>
      </c>
      <c r="G80" s="5">
        <f t="shared" si="15"/>
        <v>1.3116000000000001</v>
      </c>
      <c r="H80" s="6">
        <f t="shared" si="16"/>
        <v>0</v>
      </c>
      <c r="I80" s="2" t="s">
        <v>3</v>
      </c>
      <c r="J80" s="17">
        <f t="shared" si="18"/>
        <v>14</v>
      </c>
      <c r="K80" s="2" t="s">
        <v>4</v>
      </c>
      <c r="L80" s="15">
        <f t="shared" si="19"/>
        <v>6419</v>
      </c>
      <c r="M80" s="15">
        <f t="shared" si="20"/>
        <v>4281</v>
      </c>
      <c r="N80" s="2" t="s">
        <v>5</v>
      </c>
      <c r="O80" s="2" t="s">
        <v>6</v>
      </c>
      <c r="P80" s="2">
        <v>92.5</v>
      </c>
      <c r="Q80" s="2">
        <v>95</v>
      </c>
      <c r="R80" s="18">
        <v>600</v>
      </c>
      <c r="S80" s="2">
        <v>5</v>
      </c>
      <c r="T80" s="2" t="s">
        <v>7</v>
      </c>
      <c r="U80" s="9">
        <f t="shared" si="17"/>
        <v>0.53200000000000003</v>
      </c>
      <c r="V80" s="2" t="s">
        <v>8</v>
      </c>
      <c r="W80" s="2" t="s">
        <v>9</v>
      </c>
      <c r="X80" s="10" t="str">
        <f t="shared" si="21"/>
        <v>Column_div2_L1000_N14_b6419_g4281_fi_600_lmd0.532_T92.5_95_mbs_ang_0_v5</v>
      </c>
      <c r="Y80" s="2" t="s">
        <v>10</v>
      </c>
    </row>
    <row r="81" spans="1:25" x14ac:dyDescent="0.25">
      <c r="A81" s="1" t="s">
        <v>0</v>
      </c>
      <c r="B81" s="1" t="s">
        <v>1</v>
      </c>
      <c r="C81" s="2">
        <v>1</v>
      </c>
      <c r="D81" s="3">
        <f t="shared" si="13"/>
        <v>1000</v>
      </c>
      <c r="E81" s="4">
        <f t="shared" si="14"/>
        <v>700</v>
      </c>
      <c r="F81" s="2" t="s">
        <v>2</v>
      </c>
      <c r="G81" s="5">
        <f t="shared" si="15"/>
        <v>1.3116000000000001</v>
      </c>
      <c r="H81" s="6">
        <f t="shared" si="16"/>
        <v>0</v>
      </c>
      <c r="I81" s="2" t="s">
        <v>3</v>
      </c>
      <c r="J81" s="17">
        <f t="shared" si="18"/>
        <v>14</v>
      </c>
      <c r="K81" s="2" t="s">
        <v>4</v>
      </c>
      <c r="L81" s="15">
        <f t="shared" si="19"/>
        <v>6419</v>
      </c>
      <c r="M81" s="15">
        <f t="shared" si="20"/>
        <v>4281</v>
      </c>
      <c r="N81" s="2" t="s">
        <v>5</v>
      </c>
      <c r="O81" s="2" t="s">
        <v>6</v>
      </c>
      <c r="P81" s="2">
        <v>95</v>
      </c>
      <c r="Q81" s="2">
        <v>97.5</v>
      </c>
      <c r="R81" s="18">
        <v>600</v>
      </c>
      <c r="S81" s="2">
        <v>5</v>
      </c>
      <c r="T81" s="2" t="s">
        <v>7</v>
      </c>
      <c r="U81" s="9">
        <f t="shared" si="17"/>
        <v>0.53200000000000003</v>
      </c>
      <c r="V81" s="2" t="s">
        <v>8</v>
      </c>
      <c r="W81" s="2" t="s">
        <v>9</v>
      </c>
      <c r="X81" s="10" t="str">
        <f t="shared" si="21"/>
        <v>Column_div2_L1000_N14_b6419_g4281_fi_600_lmd0.532_T95_97.5_mbs_ang_0_v5</v>
      </c>
      <c r="Y81" s="2" t="s">
        <v>10</v>
      </c>
    </row>
    <row r="82" spans="1:25" x14ac:dyDescent="0.25">
      <c r="A82" s="1" t="s">
        <v>0</v>
      </c>
      <c r="B82" s="1" t="s">
        <v>1</v>
      </c>
      <c r="C82" s="2">
        <v>1</v>
      </c>
      <c r="D82" s="3">
        <f t="shared" si="13"/>
        <v>1000</v>
      </c>
      <c r="E82" s="4">
        <f t="shared" si="14"/>
        <v>700</v>
      </c>
      <c r="F82" s="2" t="s">
        <v>2</v>
      </c>
      <c r="G82" s="5">
        <f t="shared" si="15"/>
        <v>1.3116000000000001</v>
      </c>
      <c r="H82" s="6">
        <f t="shared" si="16"/>
        <v>0</v>
      </c>
      <c r="I82" s="2" t="s">
        <v>3</v>
      </c>
      <c r="J82" s="17">
        <f t="shared" si="18"/>
        <v>14</v>
      </c>
      <c r="K82" s="2" t="s">
        <v>4</v>
      </c>
      <c r="L82" s="15">
        <f t="shared" si="19"/>
        <v>6419</v>
      </c>
      <c r="M82" s="15">
        <f t="shared" si="20"/>
        <v>4281</v>
      </c>
      <c r="N82" s="2" t="s">
        <v>5</v>
      </c>
      <c r="O82" s="2" t="s">
        <v>6</v>
      </c>
      <c r="P82" s="2">
        <v>97.5</v>
      </c>
      <c r="Q82" s="2">
        <v>100</v>
      </c>
      <c r="R82" s="18">
        <v>600</v>
      </c>
      <c r="S82" s="2">
        <v>5</v>
      </c>
      <c r="T82" s="2" t="s">
        <v>7</v>
      </c>
      <c r="U82" s="9">
        <f t="shared" si="17"/>
        <v>0.53200000000000003</v>
      </c>
      <c r="V82" s="2" t="s">
        <v>8</v>
      </c>
      <c r="W82" s="2" t="s">
        <v>9</v>
      </c>
      <c r="X82" s="10" t="str">
        <f t="shared" si="21"/>
        <v>Column_div2_L1000_N14_b6419_g4281_fi_600_lmd0.532_T97.5_100_mbs_ang_0_v5</v>
      </c>
      <c r="Y82" s="2" t="s">
        <v>10</v>
      </c>
    </row>
    <row r="83" spans="1:25" x14ac:dyDescent="0.25">
      <c r="A83" s="1" t="s">
        <v>0</v>
      </c>
      <c r="B83" s="1" t="s">
        <v>1</v>
      </c>
      <c r="C83" s="2">
        <v>1</v>
      </c>
      <c r="D83" s="3">
        <f t="shared" si="13"/>
        <v>1000</v>
      </c>
      <c r="E83" s="4">
        <f t="shared" si="14"/>
        <v>700</v>
      </c>
      <c r="F83" s="2" t="s">
        <v>2</v>
      </c>
      <c r="G83" s="5">
        <f t="shared" si="15"/>
        <v>1.3116000000000001</v>
      </c>
      <c r="H83" s="6">
        <f t="shared" si="16"/>
        <v>0</v>
      </c>
      <c r="I83" s="2" t="s">
        <v>3</v>
      </c>
      <c r="J83" s="17">
        <f t="shared" si="18"/>
        <v>14</v>
      </c>
      <c r="K83" s="2" t="s">
        <v>4</v>
      </c>
      <c r="L83" s="15">
        <f t="shared" si="19"/>
        <v>6419</v>
      </c>
      <c r="M83" s="15">
        <f t="shared" si="20"/>
        <v>4281</v>
      </c>
      <c r="N83" s="2" t="s">
        <v>5</v>
      </c>
      <c r="O83" s="2" t="s">
        <v>6</v>
      </c>
      <c r="P83" s="2">
        <v>100</v>
      </c>
      <c r="Q83" s="2">
        <v>102.5</v>
      </c>
      <c r="R83" s="18">
        <v>600</v>
      </c>
      <c r="S83" s="2">
        <v>5</v>
      </c>
      <c r="T83" s="2" t="s">
        <v>7</v>
      </c>
      <c r="U83" s="9">
        <f t="shared" si="17"/>
        <v>0.53200000000000003</v>
      </c>
      <c r="V83" s="2" t="s">
        <v>8</v>
      </c>
      <c r="W83" s="2" t="s">
        <v>9</v>
      </c>
      <c r="X83" s="10" t="str">
        <f t="shared" si="21"/>
        <v>Column_div2_L1000_N14_b6419_g4281_fi_600_lmd0.532_T100_102.5_mbs_ang_0_v5</v>
      </c>
      <c r="Y83" s="2" t="s">
        <v>10</v>
      </c>
    </row>
    <row r="84" spans="1:25" x14ac:dyDescent="0.25">
      <c r="A84" s="1" t="s">
        <v>0</v>
      </c>
      <c r="B84" s="1" t="s">
        <v>1</v>
      </c>
      <c r="C84" s="2">
        <v>1</v>
      </c>
      <c r="D84" s="3">
        <f t="shared" si="13"/>
        <v>1000</v>
      </c>
      <c r="E84" s="4">
        <f t="shared" si="14"/>
        <v>700</v>
      </c>
      <c r="F84" s="2" t="s">
        <v>2</v>
      </c>
      <c r="G84" s="5">
        <f t="shared" si="15"/>
        <v>1.3116000000000001</v>
      </c>
      <c r="H84" s="6">
        <f t="shared" si="16"/>
        <v>0</v>
      </c>
      <c r="I84" s="2" t="s">
        <v>3</v>
      </c>
      <c r="J84" s="17">
        <f t="shared" si="18"/>
        <v>14</v>
      </c>
      <c r="K84" s="2" t="s">
        <v>4</v>
      </c>
      <c r="L84" s="15">
        <f t="shared" si="19"/>
        <v>6419</v>
      </c>
      <c r="M84" s="15">
        <f t="shared" si="20"/>
        <v>4281</v>
      </c>
      <c r="N84" s="2" t="s">
        <v>5</v>
      </c>
      <c r="O84" s="2" t="s">
        <v>6</v>
      </c>
      <c r="P84" s="2">
        <v>102.5</v>
      </c>
      <c r="Q84" s="2">
        <v>105</v>
      </c>
      <c r="R84" s="18">
        <v>600</v>
      </c>
      <c r="S84" s="2">
        <v>5</v>
      </c>
      <c r="T84" s="2" t="s">
        <v>7</v>
      </c>
      <c r="U84" s="9">
        <f t="shared" si="17"/>
        <v>0.53200000000000003</v>
      </c>
      <c r="V84" s="2" t="s">
        <v>8</v>
      </c>
      <c r="W84" s="2" t="s">
        <v>9</v>
      </c>
      <c r="X84" s="10" t="str">
        <f t="shared" si="21"/>
        <v>Column_div2_L1000_N14_b6419_g4281_fi_600_lmd0.532_T102.5_105_mbs_ang_0_v5</v>
      </c>
      <c r="Y84" s="2" t="s">
        <v>10</v>
      </c>
    </row>
    <row r="85" spans="1:25" x14ac:dyDescent="0.25">
      <c r="A85" s="1" t="s">
        <v>0</v>
      </c>
      <c r="B85" s="1" t="s">
        <v>1</v>
      </c>
      <c r="C85" s="2">
        <v>1</v>
      </c>
      <c r="D85" s="3">
        <f t="shared" si="13"/>
        <v>1000</v>
      </c>
      <c r="E85" s="4">
        <f t="shared" si="14"/>
        <v>700</v>
      </c>
      <c r="F85" s="2" t="s">
        <v>2</v>
      </c>
      <c r="G85" s="5">
        <f t="shared" si="15"/>
        <v>1.3116000000000001</v>
      </c>
      <c r="H85" s="6">
        <f t="shared" si="16"/>
        <v>0</v>
      </c>
      <c r="I85" s="2" t="s">
        <v>3</v>
      </c>
      <c r="J85" s="17">
        <f t="shared" si="18"/>
        <v>14</v>
      </c>
      <c r="K85" s="2" t="s">
        <v>4</v>
      </c>
      <c r="L85" s="15">
        <f t="shared" si="19"/>
        <v>6419</v>
      </c>
      <c r="M85" s="15">
        <f t="shared" si="20"/>
        <v>4281</v>
      </c>
      <c r="N85" s="2" t="s">
        <v>5</v>
      </c>
      <c r="O85" s="2" t="s">
        <v>6</v>
      </c>
      <c r="P85" s="2">
        <v>105</v>
      </c>
      <c r="Q85" s="2">
        <v>107.5</v>
      </c>
      <c r="R85" s="18">
        <v>600</v>
      </c>
      <c r="S85" s="2">
        <v>5</v>
      </c>
      <c r="T85" s="2" t="s">
        <v>7</v>
      </c>
      <c r="U85" s="9">
        <f t="shared" si="17"/>
        <v>0.53200000000000003</v>
      </c>
      <c r="V85" s="2" t="s">
        <v>8</v>
      </c>
      <c r="W85" s="2" t="s">
        <v>9</v>
      </c>
      <c r="X85" s="10" t="str">
        <f t="shared" si="21"/>
        <v>Column_div2_L1000_N14_b6419_g4281_fi_600_lmd0.532_T105_107.5_mbs_ang_0_v5</v>
      </c>
      <c r="Y85" s="2" t="s">
        <v>10</v>
      </c>
    </row>
    <row r="86" spans="1:25" x14ac:dyDescent="0.25">
      <c r="A86" s="1" t="s">
        <v>0</v>
      </c>
      <c r="B86" s="1" t="s">
        <v>1</v>
      </c>
      <c r="C86" s="2">
        <v>1</v>
      </c>
      <c r="D86" s="3">
        <f t="shared" si="13"/>
        <v>1000</v>
      </c>
      <c r="E86" s="4">
        <f t="shared" si="14"/>
        <v>700</v>
      </c>
      <c r="F86" s="2" t="s">
        <v>2</v>
      </c>
      <c r="G86" s="5">
        <f t="shared" si="15"/>
        <v>1.3116000000000001</v>
      </c>
      <c r="H86" s="6">
        <f t="shared" si="16"/>
        <v>0</v>
      </c>
      <c r="I86" s="2" t="s">
        <v>3</v>
      </c>
      <c r="J86" s="17">
        <f t="shared" si="18"/>
        <v>14</v>
      </c>
      <c r="K86" s="2" t="s">
        <v>4</v>
      </c>
      <c r="L86" s="15">
        <f t="shared" si="19"/>
        <v>6419</v>
      </c>
      <c r="M86" s="15">
        <f t="shared" si="20"/>
        <v>4281</v>
      </c>
      <c r="N86" s="2" t="s">
        <v>5</v>
      </c>
      <c r="O86" s="2" t="s">
        <v>6</v>
      </c>
      <c r="P86" s="2">
        <v>107.5</v>
      </c>
      <c r="Q86" s="2">
        <v>110</v>
      </c>
      <c r="R86" s="18">
        <v>600</v>
      </c>
      <c r="S86" s="2">
        <v>5</v>
      </c>
      <c r="T86" s="2" t="s">
        <v>7</v>
      </c>
      <c r="U86" s="9">
        <f t="shared" si="17"/>
        <v>0.53200000000000003</v>
      </c>
      <c r="V86" s="2" t="s">
        <v>8</v>
      </c>
      <c r="W86" s="2" t="s">
        <v>9</v>
      </c>
      <c r="X86" s="10" t="str">
        <f t="shared" si="21"/>
        <v>Column_div2_L1000_N14_b6419_g4281_fi_600_lmd0.532_T107.5_110_mbs_ang_0_v5</v>
      </c>
      <c r="Y86" s="2" t="s">
        <v>10</v>
      </c>
    </row>
    <row r="87" spans="1:25" x14ac:dyDescent="0.25">
      <c r="A87" s="1" t="s">
        <v>0</v>
      </c>
      <c r="B87" s="1" t="s">
        <v>1</v>
      </c>
      <c r="C87" s="2">
        <v>1</v>
      </c>
      <c r="D87" s="3">
        <f t="shared" si="13"/>
        <v>1000</v>
      </c>
      <c r="E87" s="4">
        <f t="shared" si="14"/>
        <v>700</v>
      </c>
      <c r="F87" s="2" t="s">
        <v>2</v>
      </c>
      <c r="G87" s="5">
        <f t="shared" si="15"/>
        <v>1.3116000000000001</v>
      </c>
      <c r="H87" s="6">
        <f t="shared" si="16"/>
        <v>0</v>
      </c>
      <c r="I87" s="2" t="s">
        <v>3</v>
      </c>
      <c r="J87" s="17">
        <f t="shared" si="18"/>
        <v>14</v>
      </c>
      <c r="K87" s="2" t="s">
        <v>4</v>
      </c>
      <c r="L87" s="15">
        <f t="shared" si="19"/>
        <v>6419</v>
      </c>
      <c r="M87" s="15">
        <f t="shared" si="20"/>
        <v>4281</v>
      </c>
      <c r="N87" s="2" t="s">
        <v>5</v>
      </c>
      <c r="O87" s="2" t="s">
        <v>6</v>
      </c>
      <c r="P87" s="2">
        <v>110</v>
      </c>
      <c r="Q87" s="2">
        <v>112.5</v>
      </c>
      <c r="R87" s="18">
        <v>600</v>
      </c>
      <c r="S87" s="2">
        <v>5</v>
      </c>
      <c r="T87" s="2" t="s">
        <v>7</v>
      </c>
      <c r="U87" s="9">
        <f t="shared" si="17"/>
        <v>0.53200000000000003</v>
      </c>
      <c r="V87" s="2" t="s">
        <v>8</v>
      </c>
      <c r="W87" s="2" t="s">
        <v>9</v>
      </c>
      <c r="X87" s="10" t="str">
        <f t="shared" si="21"/>
        <v>Column_div2_L1000_N14_b6419_g4281_fi_600_lmd0.532_T110_112.5_mbs_ang_0_v5</v>
      </c>
      <c r="Y87" s="2" t="s">
        <v>10</v>
      </c>
    </row>
    <row r="88" spans="1:25" x14ac:dyDescent="0.25">
      <c r="A88" s="1" t="s">
        <v>0</v>
      </c>
      <c r="B88" s="1" t="s">
        <v>1</v>
      </c>
      <c r="C88" s="2">
        <v>1</v>
      </c>
      <c r="D88" s="3">
        <f t="shared" si="13"/>
        <v>1000</v>
      </c>
      <c r="E88" s="4">
        <f t="shared" si="14"/>
        <v>700</v>
      </c>
      <c r="F88" s="2" t="s">
        <v>2</v>
      </c>
      <c r="G88" s="5">
        <f t="shared" si="15"/>
        <v>1.3116000000000001</v>
      </c>
      <c r="H88" s="6">
        <f t="shared" si="16"/>
        <v>0</v>
      </c>
      <c r="I88" s="2" t="s">
        <v>3</v>
      </c>
      <c r="J88" s="17">
        <f t="shared" si="18"/>
        <v>14</v>
      </c>
      <c r="K88" s="2" t="s">
        <v>4</v>
      </c>
      <c r="L88" s="15">
        <f t="shared" si="19"/>
        <v>6419</v>
      </c>
      <c r="M88" s="15">
        <f t="shared" si="20"/>
        <v>4281</v>
      </c>
      <c r="N88" s="2" t="s">
        <v>5</v>
      </c>
      <c r="O88" s="2" t="s">
        <v>6</v>
      </c>
      <c r="P88" s="2">
        <v>112.5</v>
      </c>
      <c r="Q88" s="2">
        <v>115</v>
      </c>
      <c r="R88" s="18">
        <v>600</v>
      </c>
      <c r="S88" s="2">
        <v>5</v>
      </c>
      <c r="T88" s="2" t="s">
        <v>7</v>
      </c>
      <c r="U88" s="9">
        <f t="shared" si="17"/>
        <v>0.53200000000000003</v>
      </c>
      <c r="V88" s="2" t="s">
        <v>8</v>
      </c>
      <c r="W88" s="2" t="s">
        <v>9</v>
      </c>
      <c r="X88" s="10" t="str">
        <f t="shared" si="21"/>
        <v>Column_div2_L1000_N14_b6419_g4281_fi_600_lmd0.532_T112.5_115_mbs_ang_0_v5</v>
      </c>
      <c r="Y88" s="2" t="s">
        <v>10</v>
      </c>
    </row>
    <row r="89" spans="1:25" x14ac:dyDescent="0.25">
      <c r="A89" s="1" t="s">
        <v>0</v>
      </c>
      <c r="B89" s="1" t="s">
        <v>1</v>
      </c>
      <c r="C89" s="2">
        <v>1</v>
      </c>
      <c r="D89" s="3">
        <f t="shared" si="13"/>
        <v>1000</v>
      </c>
      <c r="E89" s="4">
        <f t="shared" si="14"/>
        <v>700</v>
      </c>
      <c r="F89" s="2" t="s">
        <v>2</v>
      </c>
      <c r="G89" s="5">
        <f t="shared" si="15"/>
        <v>1.3116000000000001</v>
      </c>
      <c r="H89" s="6">
        <f t="shared" si="16"/>
        <v>0</v>
      </c>
      <c r="I89" s="2" t="s">
        <v>3</v>
      </c>
      <c r="J89" s="17">
        <f t="shared" si="18"/>
        <v>14</v>
      </c>
      <c r="K89" s="2" t="s">
        <v>4</v>
      </c>
      <c r="L89" s="15">
        <f t="shared" si="19"/>
        <v>6419</v>
      </c>
      <c r="M89" s="15">
        <f t="shared" si="20"/>
        <v>4281</v>
      </c>
      <c r="N89" s="2" t="s">
        <v>5</v>
      </c>
      <c r="O89" s="2" t="s">
        <v>6</v>
      </c>
      <c r="P89" s="2">
        <v>115</v>
      </c>
      <c r="Q89" s="2">
        <v>117.5</v>
      </c>
      <c r="R89" s="18">
        <v>600</v>
      </c>
      <c r="S89" s="2">
        <v>5</v>
      </c>
      <c r="T89" s="2" t="s">
        <v>7</v>
      </c>
      <c r="U89" s="9">
        <f t="shared" si="17"/>
        <v>0.53200000000000003</v>
      </c>
      <c r="V89" s="2" t="s">
        <v>8</v>
      </c>
      <c r="W89" s="2" t="s">
        <v>9</v>
      </c>
      <c r="X89" s="10" t="str">
        <f t="shared" si="21"/>
        <v>Column_div2_L1000_N14_b6419_g4281_fi_600_lmd0.532_T115_117.5_mbs_ang_0_v5</v>
      </c>
      <c r="Y89" s="2" t="s">
        <v>10</v>
      </c>
    </row>
    <row r="90" spans="1:25" x14ac:dyDescent="0.25">
      <c r="A90" s="1" t="s">
        <v>0</v>
      </c>
      <c r="B90" s="1" t="s">
        <v>1</v>
      </c>
      <c r="C90" s="2">
        <v>1</v>
      </c>
      <c r="D90" s="3">
        <f t="shared" si="13"/>
        <v>1000</v>
      </c>
      <c r="E90" s="4">
        <f t="shared" si="14"/>
        <v>700</v>
      </c>
      <c r="F90" s="2" t="s">
        <v>2</v>
      </c>
      <c r="G90" s="5">
        <f t="shared" si="15"/>
        <v>1.3116000000000001</v>
      </c>
      <c r="H90" s="6">
        <f t="shared" si="16"/>
        <v>0</v>
      </c>
      <c r="I90" s="2" t="s">
        <v>3</v>
      </c>
      <c r="J90" s="17">
        <f t="shared" si="18"/>
        <v>14</v>
      </c>
      <c r="K90" s="2" t="s">
        <v>4</v>
      </c>
      <c r="L90" s="15">
        <f t="shared" si="19"/>
        <v>6419</v>
      </c>
      <c r="M90" s="15">
        <f t="shared" si="20"/>
        <v>4281</v>
      </c>
      <c r="N90" s="2" t="s">
        <v>5</v>
      </c>
      <c r="O90" s="2" t="s">
        <v>6</v>
      </c>
      <c r="P90" s="2">
        <v>117.5</v>
      </c>
      <c r="Q90" s="2">
        <v>120</v>
      </c>
      <c r="R90" s="18">
        <v>600</v>
      </c>
      <c r="S90" s="2">
        <v>5</v>
      </c>
      <c r="T90" s="2" t="s">
        <v>7</v>
      </c>
      <c r="U90" s="9">
        <f t="shared" si="17"/>
        <v>0.53200000000000003</v>
      </c>
      <c r="V90" s="2" t="s">
        <v>8</v>
      </c>
      <c r="W90" s="2" t="s">
        <v>9</v>
      </c>
      <c r="X90" s="10" t="str">
        <f t="shared" si="21"/>
        <v>Column_div2_L1000_N14_b6419_g4281_fi_600_lmd0.532_T117.5_120_mbs_ang_0_v5</v>
      </c>
      <c r="Y90" s="2" t="s">
        <v>10</v>
      </c>
    </row>
    <row r="91" spans="1:25" x14ac:dyDescent="0.25">
      <c r="A91" s="1" t="s">
        <v>0</v>
      </c>
      <c r="B91" s="1" t="s">
        <v>1</v>
      </c>
      <c r="C91" s="2">
        <v>1</v>
      </c>
      <c r="D91" s="3">
        <f t="shared" si="13"/>
        <v>1000</v>
      </c>
      <c r="E91" s="4">
        <f t="shared" si="14"/>
        <v>700</v>
      </c>
      <c r="F91" s="2" t="s">
        <v>2</v>
      </c>
      <c r="G91" s="5">
        <f t="shared" si="15"/>
        <v>1.3116000000000001</v>
      </c>
      <c r="H91" s="6">
        <f t="shared" si="16"/>
        <v>0</v>
      </c>
      <c r="I91" s="2" t="s">
        <v>3</v>
      </c>
      <c r="J91" s="17">
        <f t="shared" si="18"/>
        <v>14</v>
      </c>
      <c r="K91" s="2" t="s">
        <v>4</v>
      </c>
      <c r="L91" s="15">
        <f t="shared" si="19"/>
        <v>6419</v>
      </c>
      <c r="M91" s="15">
        <f t="shared" si="20"/>
        <v>4281</v>
      </c>
      <c r="N91" s="2" t="s">
        <v>5</v>
      </c>
      <c r="O91" s="2" t="s">
        <v>6</v>
      </c>
      <c r="P91" s="2">
        <v>120</v>
      </c>
      <c r="Q91" s="2">
        <v>122.5</v>
      </c>
      <c r="R91" s="18">
        <v>600</v>
      </c>
      <c r="S91" s="2">
        <v>5</v>
      </c>
      <c r="T91" s="2" t="s">
        <v>7</v>
      </c>
      <c r="U91" s="9">
        <f t="shared" si="17"/>
        <v>0.53200000000000003</v>
      </c>
      <c r="V91" s="2" t="s">
        <v>8</v>
      </c>
      <c r="W91" s="2" t="s">
        <v>9</v>
      </c>
      <c r="X91" s="10" t="str">
        <f t="shared" si="21"/>
        <v>Column_div2_L1000_N14_b6419_g4281_fi_600_lmd0.532_T120_122.5_mbs_ang_0_v5</v>
      </c>
      <c r="Y91" s="2" t="s">
        <v>10</v>
      </c>
    </row>
    <row r="92" spans="1:25" x14ac:dyDescent="0.25">
      <c r="A92" s="1" t="s">
        <v>0</v>
      </c>
      <c r="B92" s="1" t="s">
        <v>1</v>
      </c>
      <c r="C92" s="2">
        <v>1</v>
      </c>
      <c r="D92" s="3">
        <f t="shared" si="13"/>
        <v>1000</v>
      </c>
      <c r="E92" s="4">
        <f t="shared" si="14"/>
        <v>700</v>
      </c>
      <c r="F92" s="2" t="s">
        <v>2</v>
      </c>
      <c r="G92" s="5">
        <f t="shared" si="15"/>
        <v>1.3116000000000001</v>
      </c>
      <c r="H92" s="6">
        <f t="shared" si="16"/>
        <v>0</v>
      </c>
      <c r="I92" s="2" t="s">
        <v>3</v>
      </c>
      <c r="J92" s="17">
        <f t="shared" si="18"/>
        <v>14</v>
      </c>
      <c r="K92" s="2" t="s">
        <v>4</v>
      </c>
      <c r="L92" s="15">
        <f t="shared" si="19"/>
        <v>6419</v>
      </c>
      <c r="M92" s="15">
        <f t="shared" si="20"/>
        <v>4281</v>
      </c>
      <c r="N92" s="2" t="s">
        <v>5</v>
      </c>
      <c r="O92" s="2" t="s">
        <v>6</v>
      </c>
      <c r="P92" s="2">
        <v>122.5</v>
      </c>
      <c r="Q92" s="2">
        <v>125</v>
      </c>
      <c r="R92" s="18">
        <v>600</v>
      </c>
      <c r="S92" s="2">
        <v>5</v>
      </c>
      <c r="T92" s="2" t="s">
        <v>7</v>
      </c>
      <c r="U92" s="9">
        <f t="shared" si="17"/>
        <v>0.53200000000000003</v>
      </c>
      <c r="V92" s="2" t="s">
        <v>8</v>
      </c>
      <c r="W92" s="2" t="s">
        <v>9</v>
      </c>
      <c r="X92" s="10" t="str">
        <f t="shared" si="21"/>
        <v>Column_div2_L1000_N14_b6419_g4281_fi_600_lmd0.532_T122.5_125_mbs_ang_0_v5</v>
      </c>
      <c r="Y92" s="2" t="s">
        <v>10</v>
      </c>
    </row>
    <row r="93" spans="1:25" x14ac:dyDescent="0.25">
      <c r="A93" s="1" t="s">
        <v>0</v>
      </c>
      <c r="B93" s="1" t="s">
        <v>1</v>
      </c>
      <c r="C93" s="2">
        <v>1</v>
      </c>
      <c r="D93" s="3">
        <f t="shared" si="13"/>
        <v>1000</v>
      </c>
      <c r="E93" s="4">
        <f t="shared" si="14"/>
        <v>700</v>
      </c>
      <c r="F93" s="2" t="s">
        <v>2</v>
      </c>
      <c r="G93" s="5">
        <f t="shared" si="15"/>
        <v>1.3116000000000001</v>
      </c>
      <c r="H93" s="6">
        <f t="shared" si="16"/>
        <v>0</v>
      </c>
      <c r="I93" s="2" t="s">
        <v>3</v>
      </c>
      <c r="J93" s="17">
        <f t="shared" si="18"/>
        <v>14</v>
      </c>
      <c r="K93" s="2" t="s">
        <v>4</v>
      </c>
      <c r="L93" s="15">
        <f t="shared" si="19"/>
        <v>6419</v>
      </c>
      <c r="M93" s="15">
        <f t="shared" si="20"/>
        <v>4281</v>
      </c>
      <c r="N93" s="2" t="s">
        <v>5</v>
      </c>
      <c r="O93" s="2" t="s">
        <v>6</v>
      </c>
      <c r="P93" s="2">
        <v>125</v>
      </c>
      <c r="Q93" s="2">
        <v>127.5</v>
      </c>
      <c r="R93" s="18">
        <v>600</v>
      </c>
      <c r="S93" s="2">
        <v>5</v>
      </c>
      <c r="T93" s="2" t="s">
        <v>7</v>
      </c>
      <c r="U93" s="9">
        <f t="shared" si="17"/>
        <v>0.53200000000000003</v>
      </c>
      <c r="V93" s="2" t="s">
        <v>8</v>
      </c>
      <c r="W93" s="2" t="s">
        <v>9</v>
      </c>
      <c r="X93" s="10" t="str">
        <f t="shared" si="21"/>
        <v>Column_div2_L1000_N14_b6419_g4281_fi_600_lmd0.532_T125_127.5_mbs_ang_0_v5</v>
      </c>
      <c r="Y93" s="2" t="s">
        <v>10</v>
      </c>
    </row>
    <row r="94" spans="1:25" x14ac:dyDescent="0.25">
      <c r="A94" s="1" t="s">
        <v>0</v>
      </c>
      <c r="B94" s="1" t="s">
        <v>1</v>
      </c>
      <c r="C94" s="2">
        <v>1</v>
      </c>
      <c r="D94" s="3">
        <f t="shared" si="13"/>
        <v>1000</v>
      </c>
      <c r="E94" s="4">
        <f t="shared" si="14"/>
        <v>700</v>
      </c>
      <c r="F94" s="2" t="s">
        <v>2</v>
      </c>
      <c r="G94" s="5">
        <f t="shared" si="15"/>
        <v>1.3116000000000001</v>
      </c>
      <c r="H94" s="6">
        <f t="shared" si="16"/>
        <v>0</v>
      </c>
      <c r="I94" s="2" t="s">
        <v>3</v>
      </c>
      <c r="J94" s="17">
        <f t="shared" si="18"/>
        <v>14</v>
      </c>
      <c r="K94" s="2" t="s">
        <v>4</v>
      </c>
      <c r="L94" s="15">
        <f t="shared" si="19"/>
        <v>6419</v>
      </c>
      <c r="M94" s="15">
        <f t="shared" si="20"/>
        <v>4281</v>
      </c>
      <c r="N94" s="2" t="s">
        <v>5</v>
      </c>
      <c r="O94" s="2" t="s">
        <v>6</v>
      </c>
      <c r="P94" s="2">
        <v>127.5</v>
      </c>
      <c r="Q94" s="2">
        <v>130</v>
      </c>
      <c r="R94" s="18">
        <v>600</v>
      </c>
      <c r="S94" s="2">
        <v>5</v>
      </c>
      <c r="T94" s="2" t="s">
        <v>7</v>
      </c>
      <c r="U94" s="9">
        <f t="shared" si="17"/>
        <v>0.53200000000000003</v>
      </c>
      <c r="V94" s="2" t="s">
        <v>8</v>
      </c>
      <c r="W94" s="2" t="s">
        <v>9</v>
      </c>
      <c r="X94" s="10" t="str">
        <f t="shared" si="21"/>
        <v>Column_div2_L1000_N14_b6419_g4281_fi_600_lmd0.532_T127.5_130_mbs_ang_0_v5</v>
      </c>
      <c r="Y94" s="2" t="s">
        <v>10</v>
      </c>
    </row>
    <row r="95" spans="1:25" x14ac:dyDescent="0.25">
      <c r="A95" s="1" t="s">
        <v>0</v>
      </c>
      <c r="B95" s="1" t="s">
        <v>1</v>
      </c>
      <c r="C95" s="2">
        <v>1</v>
      </c>
      <c r="D95" s="3">
        <f t="shared" si="13"/>
        <v>1000</v>
      </c>
      <c r="E95" s="4">
        <f t="shared" si="14"/>
        <v>700</v>
      </c>
      <c r="F95" s="2" t="s">
        <v>2</v>
      </c>
      <c r="G95" s="5">
        <f t="shared" si="15"/>
        <v>1.3116000000000001</v>
      </c>
      <c r="H95" s="6">
        <f t="shared" si="16"/>
        <v>0</v>
      </c>
      <c r="I95" s="2" t="s">
        <v>3</v>
      </c>
      <c r="J95" s="17">
        <f t="shared" si="18"/>
        <v>14</v>
      </c>
      <c r="K95" s="2" t="s">
        <v>4</v>
      </c>
      <c r="L95" s="15">
        <f t="shared" si="19"/>
        <v>6419</v>
      </c>
      <c r="M95" s="15">
        <f t="shared" si="20"/>
        <v>4281</v>
      </c>
      <c r="N95" s="2" t="s">
        <v>5</v>
      </c>
      <c r="O95" s="2" t="s">
        <v>6</v>
      </c>
      <c r="P95" s="2">
        <v>130</v>
      </c>
      <c r="Q95" s="2">
        <v>132.5</v>
      </c>
      <c r="R95" s="18">
        <v>600</v>
      </c>
      <c r="S95" s="2">
        <v>5</v>
      </c>
      <c r="T95" s="2" t="s">
        <v>7</v>
      </c>
      <c r="U95" s="9">
        <f t="shared" si="17"/>
        <v>0.53200000000000003</v>
      </c>
      <c r="V95" s="2" t="s">
        <v>8</v>
      </c>
      <c r="W95" s="2" t="s">
        <v>9</v>
      </c>
      <c r="X95" s="10" t="str">
        <f t="shared" si="21"/>
        <v>Column_div2_L1000_N14_b6419_g4281_fi_600_lmd0.532_T130_132.5_mbs_ang_0_v5</v>
      </c>
      <c r="Y95" s="2" t="s">
        <v>10</v>
      </c>
    </row>
    <row r="96" spans="1:25" x14ac:dyDescent="0.25">
      <c r="A96" s="1" t="s">
        <v>0</v>
      </c>
      <c r="B96" s="1" t="s">
        <v>1</v>
      </c>
      <c r="C96" s="2">
        <v>1</v>
      </c>
      <c r="D96" s="3">
        <f t="shared" si="13"/>
        <v>1000</v>
      </c>
      <c r="E96" s="4">
        <f t="shared" si="14"/>
        <v>700</v>
      </c>
      <c r="F96" s="2" t="s">
        <v>2</v>
      </c>
      <c r="G96" s="5">
        <f t="shared" si="15"/>
        <v>1.3116000000000001</v>
      </c>
      <c r="H96" s="6">
        <f t="shared" si="16"/>
        <v>0</v>
      </c>
      <c r="I96" s="2" t="s">
        <v>3</v>
      </c>
      <c r="J96" s="17">
        <f t="shared" si="18"/>
        <v>14</v>
      </c>
      <c r="K96" s="2" t="s">
        <v>4</v>
      </c>
      <c r="L96" s="15">
        <f t="shared" si="19"/>
        <v>6419</v>
      </c>
      <c r="M96" s="15">
        <f t="shared" si="20"/>
        <v>4281</v>
      </c>
      <c r="N96" s="2" t="s">
        <v>5</v>
      </c>
      <c r="O96" s="2" t="s">
        <v>6</v>
      </c>
      <c r="P96" s="2">
        <v>132.5</v>
      </c>
      <c r="Q96" s="2">
        <v>135</v>
      </c>
      <c r="R96" s="18">
        <v>600</v>
      </c>
      <c r="S96" s="2">
        <v>5</v>
      </c>
      <c r="T96" s="2" t="s">
        <v>7</v>
      </c>
      <c r="U96" s="9">
        <f t="shared" si="17"/>
        <v>0.53200000000000003</v>
      </c>
      <c r="V96" s="2" t="s">
        <v>8</v>
      </c>
      <c r="W96" s="2" t="s">
        <v>9</v>
      </c>
      <c r="X96" s="10" t="str">
        <f t="shared" si="21"/>
        <v>Column_div2_L1000_N14_b6419_g4281_fi_600_lmd0.532_T132.5_135_mbs_ang_0_v5</v>
      </c>
      <c r="Y96" s="2" t="s">
        <v>10</v>
      </c>
    </row>
    <row r="97" spans="1:25" x14ac:dyDescent="0.25">
      <c r="A97" s="1" t="s">
        <v>0</v>
      </c>
      <c r="B97" s="1" t="s">
        <v>1</v>
      </c>
      <c r="C97" s="2">
        <v>1</v>
      </c>
      <c r="D97" s="3">
        <f t="shared" si="13"/>
        <v>1000</v>
      </c>
      <c r="E97" s="4">
        <f t="shared" si="14"/>
        <v>700</v>
      </c>
      <c r="F97" s="2" t="s">
        <v>2</v>
      </c>
      <c r="G97" s="5">
        <f t="shared" si="15"/>
        <v>1.3116000000000001</v>
      </c>
      <c r="H97" s="6">
        <f t="shared" si="16"/>
        <v>0</v>
      </c>
      <c r="I97" s="2" t="s">
        <v>3</v>
      </c>
      <c r="J97" s="17">
        <f t="shared" si="18"/>
        <v>14</v>
      </c>
      <c r="K97" s="2" t="s">
        <v>4</v>
      </c>
      <c r="L97" s="15">
        <f t="shared" si="19"/>
        <v>6419</v>
      </c>
      <c r="M97" s="15">
        <f t="shared" si="20"/>
        <v>4281</v>
      </c>
      <c r="N97" s="2" t="s">
        <v>5</v>
      </c>
      <c r="O97" s="2" t="s">
        <v>6</v>
      </c>
      <c r="P97" s="2">
        <v>135</v>
      </c>
      <c r="Q97" s="2">
        <v>137.5</v>
      </c>
      <c r="R97" s="18">
        <v>600</v>
      </c>
      <c r="S97" s="2">
        <v>5</v>
      </c>
      <c r="T97" s="2" t="s">
        <v>7</v>
      </c>
      <c r="U97" s="9">
        <f t="shared" si="17"/>
        <v>0.53200000000000003</v>
      </c>
      <c r="V97" s="2" t="s">
        <v>8</v>
      </c>
      <c r="W97" s="2" t="s">
        <v>9</v>
      </c>
      <c r="X97" s="10" t="str">
        <f t="shared" si="21"/>
        <v>Column_div2_L1000_N14_b6419_g4281_fi_600_lmd0.532_T135_137.5_mbs_ang_0_v5</v>
      </c>
      <c r="Y97" s="2" t="s">
        <v>10</v>
      </c>
    </row>
    <row r="98" spans="1:25" x14ac:dyDescent="0.25">
      <c r="A98" s="1" t="s">
        <v>0</v>
      </c>
      <c r="B98" s="1" t="s">
        <v>1</v>
      </c>
      <c r="C98" s="2">
        <v>1</v>
      </c>
      <c r="D98" s="3">
        <f t="shared" si="13"/>
        <v>1000</v>
      </c>
      <c r="E98" s="4">
        <f t="shared" si="14"/>
        <v>700</v>
      </c>
      <c r="F98" s="2" t="s">
        <v>2</v>
      </c>
      <c r="G98" s="5">
        <f t="shared" si="15"/>
        <v>1.3116000000000001</v>
      </c>
      <c r="H98" s="6">
        <f t="shared" si="16"/>
        <v>0</v>
      </c>
      <c r="I98" s="2" t="s">
        <v>3</v>
      </c>
      <c r="J98" s="17">
        <f t="shared" si="18"/>
        <v>14</v>
      </c>
      <c r="K98" s="2" t="s">
        <v>4</v>
      </c>
      <c r="L98" s="15">
        <f t="shared" si="19"/>
        <v>6419</v>
      </c>
      <c r="M98" s="15">
        <f t="shared" si="20"/>
        <v>4281</v>
      </c>
      <c r="N98" s="2" t="s">
        <v>5</v>
      </c>
      <c r="O98" s="2" t="s">
        <v>6</v>
      </c>
      <c r="P98" s="2">
        <v>137.5</v>
      </c>
      <c r="Q98" s="2">
        <v>140</v>
      </c>
      <c r="R98" s="18">
        <v>600</v>
      </c>
      <c r="S98" s="2">
        <v>5</v>
      </c>
      <c r="T98" s="2" t="s">
        <v>7</v>
      </c>
      <c r="U98" s="9">
        <f t="shared" si="17"/>
        <v>0.53200000000000003</v>
      </c>
      <c r="V98" s="2" t="s">
        <v>8</v>
      </c>
      <c r="W98" s="2" t="s">
        <v>9</v>
      </c>
      <c r="X98" s="10" t="str">
        <f t="shared" si="21"/>
        <v>Column_div2_L1000_N14_b6419_g4281_fi_600_lmd0.532_T137.5_140_mbs_ang_0_v5</v>
      </c>
      <c r="Y98" s="2" t="s">
        <v>10</v>
      </c>
    </row>
    <row r="99" spans="1:25" x14ac:dyDescent="0.25">
      <c r="A99" s="1" t="s">
        <v>0</v>
      </c>
      <c r="B99" s="1" t="s">
        <v>1</v>
      </c>
      <c r="C99" s="2">
        <v>1</v>
      </c>
      <c r="D99" s="3">
        <f t="shared" si="13"/>
        <v>1000</v>
      </c>
      <c r="E99" s="4">
        <f t="shared" si="14"/>
        <v>700</v>
      </c>
      <c r="F99" s="2" t="s">
        <v>2</v>
      </c>
      <c r="G99" s="5">
        <f t="shared" si="15"/>
        <v>1.3116000000000001</v>
      </c>
      <c r="H99" s="6">
        <f t="shared" si="16"/>
        <v>0</v>
      </c>
      <c r="I99" s="2" t="s">
        <v>3</v>
      </c>
      <c r="J99" s="17">
        <f t="shared" si="18"/>
        <v>14</v>
      </c>
      <c r="K99" s="2" t="s">
        <v>4</v>
      </c>
      <c r="L99" s="15">
        <f t="shared" si="19"/>
        <v>6419</v>
      </c>
      <c r="M99" s="15">
        <f t="shared" si="20"/>
        <v>4281</v>
      </c>
      <c r="N99" s="2" t="s">
        <v>5</v>
      </c>
      <c r="O99" s="2" t="s">
        <v>6</v>
      </c>
      <c r="P99" s="2">
        <v>140</v>
      </c>
      <c r="Q99" s="2">
        <v>142.5</v>
      </c>
      <c r="R99" s="18">
        <v>600</v>
      </c>
      <c r="S99" s="2">
        <v>5</v>
      </c>
      <c r="T99" s="2" t="s">
        <v>7</v>
      </c>
      <c r="U99" s="9">
        <f t="shared" si="17"/>
        <v>0.53200000000000003</v>
      </c>
      <c r="V99" s="2" t="s">
        <v>8</v>
      </c>
      <c r="W99" s="2" t="s">
        <v>9</v>
      </c>
      <c r="X99" s="10" t="str">
        <f t="shared" si="21"/>
        <v>Column_div2_L1000_N14_b6419_g4281_fi_600_lmd0.532_T140_142.5_mbs_ang_0_v5</v>
      </c>
      <c r="Y99" s="2" t="s">
        <v>10</v>
      </c>
    </row>
    <row r="100" spans="1:25" x14ac:dyDescent="0.25">
      <c r="A100" s="1" t="s">
        <v>0</v>
      </c>
      <c r="B100" s="1" t="s">
        <v>1</v>
      </c>
      <c r="C100" s="2">
        <v>1</v>
      </c>
      <c r="D100" s="3">
        <f t="shared" si="13"/>
        <v>1000</v>
      </c>
      <c r="E100" s="4">
        <f t="shared" si="14"/>
        <v>700</v>
      </c>
      <c r="F100" s="2" t="s">
        <v>2</v>
      </c>
      <c r="G100" s="5">
        <f t="shared" si="15"/>
        <v>1.3116000000000001</v>
      </c>
      <c r="H100" s="6">
        <f t="shared" si="16"/>
        <v>0</v>
      </c>
      <c r="I100" s="2" t="s">
        <v>3</v>
      </c>
      <c r="J100" s="17">
        <f t="shared" si="18"/>
        <v>14</v>
      </c>
      <c r="K100" s="2" t="s">
        <v>4</v>
      </c>
      <c r="L100" s="15">
        <f t="shared" si="19"/>
        <v>6419</v>
      </c>
      <c r="M100" s="15">
        <f t="shared" si="20"/>
        <v>4281</v>
      </c>
      <c r="N100" s="2" t="s">
        <v>5</v>
      </c>
      <c r="O100" s="2" t="s">
        <v>6</v>
      </c>
      <c r="P100" s="2">
        <v>142.5</v>
      </c>
      <c r="Q100" s="2">
        <v>145</v>
      </c>
      <c r="R100" s="18">
        <v>600</v>
      </c>
      <c r="S100" s="2">
        <v>5</v>
      </c>
      <c r="T100" s="2" t="s">
        <v>7</v>
      </c>
      <c r="U100" s="9">
        <f t="shared" si="17"/>
        <v>0.53200000000000003</v>
      </c>
      <c r="V100" s="2" t="s">
        <v>8</v>
      </c>
      <c r="W100" s="2" t="s">
        <v>9</v>
      </c>
      <c r="X100" s="10" t="str">
        <f t="shared" si="21"/>
        <v>Column_div2_L1000_N14_b6419_g4281_fi_600_lmd0.532_T142.5_145_mbs_ang_0_v5</v>
      </c>
      <c r="Y100" s="2" t="s">
        <v>10</v>
      </c>
    </row>
    <row r="101" spans="1:25" x14ac:dyDescent="0.25">
      <c r="A101" s="1" t="s">
        <v>0</v>
      </c>
      <c r="B101" s="1" t="s">
        <v>1</v>
      </c>
      <c r="C101" s="2">
        <v>1</v>
      </c>
      <c r="D101" s="3">
        <f t="shared" si="13"/>
        <v>1000</v>
      </c>
      <c r="E101" s="4">
        <f t="shared" si="14"/>
        <v>700</v>
      </c>
      <c r="F101" s="2" t="s">
        <v>2</v>
      </c>
      <c r="G101" s="5">
        <f t="shared" si="15"/>
        <v>1.3116000000000001</v>
      </c>
      <c r="H101" s="6">
        <f t="shared" si="16"/>
        <v>0</v>
      </c>
      <c r="I101" s="2" t="s">
        <v>3</v>
      </c>
      <c r="J101" s="17">
        <f t="shared" si="18"/>
        <v>14</v>
      </c>
      <c r="K101" s="2" t="s">
        <v>4</v>
      </c>
      <c r="L101" s="15">
        <f t="shared" si="19"/>
        <v>6419</v>
      </c>
      <c r="M101" s="15">
        <f t="shared" si="20"/>
        <v>4281</v>
      </c>
      <c r="N101" s="2" t="s">
        <v>5</v>
      </c>
      <c r="O101" s="2" t="s">
        <v>6</v>
      </c>
      <c r="P101" s="2">
        <v>145</v>
      </c>
      <c r="Q101" s="2">
        <v>147.5</v>
      </c>
      <c r="R101" s="18">
        <v>600</v>
      </c>
      <c r="S101" s="2">
        <v>5</v>
      </c>
      <c r="T101" s="2" t="s">
        <v>7</v>
      </c>
      <c r="U101" s="9">
        <f t="shared" si="17"/>
        <v>0.53200000000000003</v>
      </c>
      <c r="V101" s="2" t="s">
        <v>8</v>
      </c>
      <c r="W101" s="2" t="s">
        <v>9</v>
      </c>
      <c r="X101" s="10" t="str">
        <f t="shared" si="21"/>
        <v>Column_div2_L1000_N14_b6419_g4281_fi_600_lmd0.532_T145_147.5_mbs_ang_0_v5</v>
      </c>
      <c r="Y101" s="2" t="s">
        <v>10</v>
      </c>
    </row>
    <row r="102" spans="1:25" x14ac:dyDescent="0.25">
      <c r="A102" s="1" t="s">
        <v>0</v>
      </c>
      <c r="B102" s="1" t="s">
        <v>1</v>
      </c>
      <c r="C102" s="2">
        <v>1</v>
      </c>
      <c r="D102" s="3">
        <f t="shared" si="13"/>
        <v>1000</v>
      </c>
      <c r="E102" s="4">
        <f t="shared" si="14"/>
        <v>700</v>
      </c>
      <c r="F102" s="2" t="s">
        <v>2</v>
      </c>
      <c r="G102" s="5">
        <f t="shared" si="15"/>
        <v>1.3116000000000001</v>
      </c>
      <c r="H102" s="6">
        <f t="shared" si="16"/>
        <v>0</v>
      </c>
      <c r="I102" s="2" t="s">
        <v>3</v>
      </c>
      <c r="J102" s="17">
        <f t="shared" si="18"/>
        <v>14</v>
      </c>
      <c r="K102" s="2" t="s">
        <v>4</v>
      </c>
      <c r="L102" s="15">
        <f t="shared" si="19"/>
        <v>6419</v>
      </c>
      <c r="M102" s="15">
        <f t="shared" si="20"/>
        <v>4281</v>
      </c>
      <c r="N102" s="2" t="s">
        <v>5</v>
      </c>
      <c r="O102" s="2" t="s">
        <v>6</v>
      </c>
      <c r="P102" s="2">
        <v>147.5</v>
      </c>
      <c r="Q102" s="2">
        <v>150</v>
      </c>
      <c r="R102" s="18">
        <v>600</v>
      </c>
      <c r="S102" s="2">
        <v>5</v>
      </c>
      <c r="T102" s="2" t="s">
        <v>7</v>
      </c>
      <c r="U102" s="9">
        <f t="shared" si="17"/>
        <v>0.53200000000000003</v>
      </c>
      <c r="V102" s="2" t="s">
        <v>8</v>
      </c>
      <c r="W102" s="2" t="s">
        <v>9</v>
      </c>
      <c r="X102" s="10" t="str">
        <f t="shared" si="21"/>
        <v>Column_div2_L1000_N14_b6419_g4281_fi_600_lmd0.532_T147.5_150_mbs_ang_0_v5</v>
      </c>
      <c r="Y102" s="2" t="s">
        <v>10</v>
      </c>
    </row>
    <row r="103" spans="1:25" x14ac:dyDescent="0.25">
      <c r="A103" s="1" t="s">
        <v>0</v>
      </c>
      <c r="B103" s="1" t="s">
        <v>1</v>
      </c>
      <c r="C103" s="2">
        <v>1</v>
      </c>
      <c r="D103" s="3">
        <f t="shared" si="13"/>
        <v>1000</v>
      </c>
      <c r="E103" s="4">
        <f t="shared" si="14"/>
        <v>700</v>
      </c>
      <c r="F103" s="2" t="s">
        <v>2</v>
      </c>
      <c r="G103" s="5">
        <f t="shared" si="15"/>
        <v>1.3116000000000001</v>
      </c>
      <c r="H103" s="6">
        <f t="shared" si="16"/>
        <v>0</v>
      </c>
      <c r="I103" s="2" t="s">
        <v>3</v>
      </c>
      <c r="J103" s="17">
        <f t="shared" si="18"/>
        <v>14</v>
      </c>
      <c r="K103" s="2" t="s">
        <v>4</v>
      </c>
      <c r="L103" s="15">
        <f t="shared" si="19"/>
        <v>6419</v>
      </c>
      <c r="M103" s="15">
        <f t="shared" si="20"/>
        <v>4281</v>
      </c>
      <c r="N103" s="2" t="s">
        <v>5</v>
      </c>
      <c r="O103" s="2" t="s">
        <v>6</v>
      </c>
      <c r="P103" s="2">
        <v>150</v>
      </c>
      <c r="Q103" s="2">
        <v>152.5</v>
      </c>
      <c r="R103" s="18">
        <v>600</v>
      </c>
      <c r="S103" s="2">
        <v>5</v>
      </c>
      <c r="T103" s="2" t="s">
        <v>7</v>
      </c>
      <c r="U103" s="9">
        <f t="shared" si="17"/>
        <v>0.53200000000000003</v>
      </c>
      <c r="V103" s="2" t="s">
        <v>8</v>
      </c>
      <c r="W103" s="2" t="s">
        <v>9</v>
      </c>
      <c r="X103" s="10" t="str">
        <f t="shared" si="21"/>
        <v>Column_div2_L1000_N14_b6419_g4281_fi_600_lmd0.532_T150_152.5_mbs_ang_0_v5</v>
      </c>
      <c r="Y103" s="2" t="s">
        <v>10</v>
      </c>
    </row>
    <row r="104" spans="1:25" x14ac:dyDescent="0.25">
      <c r="A104" s="1" t="s">
        <v>0</v>
      </c>
      <c r="B104" s="1" t="s">
        <v>1</v>
      </c>
      <c r="C104" s="2">
        <v>1</v>
      </c>
      <c r="D104" s="3">
        <f t="shared" si="13"/>
        <v>1000</v>
      </c>
      <c r="E104" s="4">
        <f t="shared" si="14"/>
        <v>700</v>
      </c>
      <c r="F104" s="2" t="s">
        <v>2</v>
      </c>
      <c r="G104" s="5">
        <f t="shared" si="15"/>
        <v>1.3116000000000001</v>
      </c>
      <c r="H104" s="6">
        <f t="shared" si="16"/>
        <v>0</v>
      </c>
      <c r="I104" s="2" t="s">
        <v>3</v>
      </c>
      <c r="J104" s="17">
        <f t="shared" si="18"/>
        <v>14</v>
      </c>
      <c r="K104" s="2" t="s">
        <v>4</v>
      </c>
      <c r="L104" s="15">
        <f t="shared" si="19"/>
        <v>6419</v>
      </c>
      <c r="M104" s="15">
        <f t="shared" si="20"/>
        <v>4281</v>
      </c>
      <c r="N104" s="2" t="s">
        <v>5</v>
      </c>
      <c r="O104" s="2" t="s">
        <v>6</v>
      </c>
      <c r="P104" s="2">
        <v>152.5</v>
      </c>
      <c r="Q104" s="2">
        <v>155</v>
      </c>
      <c r="R104" s="18">
        <v>600</v>
      </c>
      <c r="S104" s="2">
        <v>5</v>
      </c>
      <c r="T104" s="2" t="s">
        <v>7</v>
      </c>
      <c r="U104" s="9">
        <f t="shared" si="17"/>
        <v>0.53200000000000003</v>
      </c>
      <c r="V104" s="2" t="s">
        <v>8</v>
      </c>
      <c r="W104" s="2" t="s">
        <v>9</v>
      </c>
      <c r="X104" s="10" t="str">
        <f t="shared" si="21"/>
        <v>Column_div2_L1000_N14_b6419_g4281_fi_600_lmd0.532_T152.5_155_mbs_ang_0_v5</v>
      </c>
      <c r="Y104" s="2" t="s">
        <v>10</v>
      </c>
    </row>
    <row r="105" spans="1:25" x14ac:dyDescent="0.25">
      <c r="A105" s="1" t="s">
        <v>0</v>
      </c>
      <c r="B105" s="1" t="s">
        <v>1</v>
      </c>
      <c r="C105" s="2">
        <v>1</v>
      </c>
      <c r="D105" s="3">
        <f t="shared" si="13"/>
        <v>1000</v>
      </c>
      <c r="E105" s="4">
        <f t="shared" si="14"/>
        <v>700</v>
      </c>
      <c r="F105" s="2" t="s">
        <v>2</v>
      </c>
      <c r="G105" s="5">
        <f t="shared" si="15"/>
        <v>1.3116000000000001</v>
      </c>
      <c r="H105" s="6">
        <f t="shared" si="16"/>
        <v>0</v>
      </c>
      <c r="I105" s="2" t="s">
        <v>3</v>
      </c>
      <c r="J105" s="17">
        <f t="shared" si="18"/>
        <v>14</v>
      </c>
      <c r="K105" s="2" t="s">
        <v>4</v>
      </c>
      <c r="L105" s="15">
        <f t="shared" si="19"/>
        <v>6419</v>
      </c>
      <c r="M105" s="15">
        <f t="shared" si="20"/>
        <v>4281</v>
      </c>
      <c r="N105" s="2" t="s">
        <v>5</v>
      </c>
      <c r="O105" s="2" t="s">
        <v>6</v>
      </c>
      <c r="P105" s="2">
        <v>155</v>
      </c>
      <c r="Q105" s="2">
        <v>157.5</v>
      </c>
      <c r="R105" s="18">
        <v>600</v>
      </c>
      <c r="S105" s="2">
        <v>5</v>
      </c>
      <c r="T105" s="2" t="s">
        <v>7</v>
      </c>
      <c r="U105" s="9">
        <f t="shared" si="17"/>
        <v>0.53200000000000003</v>
      </c>
      <c r="V105" s="2" t="s">
        <v>8</v>
      </c>
      <c r="W105" s="2" t="s">
        <v>9</v>
      </c>
      <c r="X105" s="10" t="str">
        <f t="shared" si="21"/>
        <v>Column_div2_L1000_N14_b6419_g4281_fi_600_lmd0.532_T155_157.5_mbs_ang_0_v5</v>
      </c>
      <c r="Y105" s="2" t="s">
        <v>10</v>
      </c>
    </row>
    <row r="106" spans="1:25" x14ac:dyDescent="0.25">
      <c r="A106" s="1" t="s">
        <v>0</v>
      </c>
      <c r="B106" s="1" t="s">
        <v>1</v>
      </c>
      <c r="C106" s="2">
        <v>1</v>
      </c>
      <c r="D106" s="3">
        <f t="shared" si="13"/>
        <v>1000</v>
      </c>
      <c r="E106" s="4">
        <f t="shared" si="14"/>
        <v>700</v>
      </c>
      <c r="F106" s="2" t="s">
        <v>2</v>
      </c>
      <c r="G106" s="5">
        <f t="shared" si="15"/>
        <v>1.3116000000000001</v>
      </c>
      <c r="H106" s="6">
        <f t="shared" si="16"/>
        <v>0</v>
      </c>
      <c r="I106" s="2" t="s">
        <v>3</v>
      </c>
      <c r="J106" s="17">
        <f t="shared" si="18"/>
        <v>14</v>
      </c>
      <c r="K106" s="2" t="s">
        <v>4</v>
      </c>
      <c r="L106" s="15">
        <f t="shared" si="19"/>
        <v>6419</v>
      </c>
      <c r="M106" s="15">
        <f t="shared" si="20"/>
        <v>4281</v>
      </c>
      <c r="N106" s="2" t="s">
        <v>5</v>
      </c>
      <c r="O106" s="2" t="s">
        <v>6</v>
      </c>
      <c r="P106" s="2">
        <v>157.5</v>
      </c>
      <c r="Q106" s="2">
        <v>160</v>
      </c>
      <c r="R106" s="18">
        <v>600</v>
      </c>
      <c r="S106" s="2">
        <v>5</v>
      </c>
      <c r="T106" s="2" t="s">
        <v>7</v>
      </c>
      <c r="U106" s="9">
        <f t="shared" si="17"/>
        <v>0.53200000000000003</v>
      </c>
      <c r="V106" s="2" t="s">
        <v>8</v>
      </c>
      <c r="W106" s="2" t="s">
        <v>9</v>
      </c>
      <c r="X106" s="10" t="str">
        <f t="shared" si="21"/>
        <v>Column_div2_L1000_N14_b6419_g4281_fi_600_lmd0.532_T157.5_160_mbs_ang_0_v5</v>
      </c>
      <c r="Y106" s="2" t="s">
        <v>10</v>
      </c>
    </row>
    <row r="107" spans="1:25" x14ac:dyDescent="0.25">
      <c r="A107" s="1" t="s">
        <v>0</v>
      </c>
      <c r="B107" s="1" t="s">
        <v>1</v>
      </c>
      <c r="C107" s="2">
        <v>1</v>
      </c>
      <c r="D107" s="3">
        <f t="shared" si="13"/>
        <v>1000</v>
      </c>
      <c r="E107" s="4">
        <f t="shared" si="14"/>
        <v>700</v>
      </c>
      <c r="F107" s="2" t="s">
        <v>2</v>
      </c>
      <c r="G107" s="5">
        <f t="shared" si="15"/>
        <v>1.3116000000000001</v>
      </c>
      <c r="H107" s="6">
        <f t="shared" si="16"/>
        <v>0</v>
      </c>
      <c r="I107" s="2" t="s">
        <v>3</v>
      </c>
      <c r="J107" s="17">
        <f t="shared" si="18"/>
        <v>14</v>
      </c>
      <c r="K107" s="2" t="s">
        <v>4</v>
      </c>
      <c r="L107" s="15">
        <f t="shared" si="19"/>
        <v>6419</v>
      </c>
      <c r="M107" s="15">
        <f t="shared" si="20"/>
        <v>4281</v>
      </c>
      <c r="N107" s="2" t="s">
        <v>5</v>
      </c>
      <c r="O107" s="2" t="s">
        <v>6</v>
      </c>
      <c r="P107" s="2">
        <v>160</v>
      </c>
      <c r="Q107" s="2">
        <v>162.5</v>
      </c>
      <c r="R107" s="18">
        <v>600</v>
      </c>
      <c r="S107" s="2">
        <v>5</v>
      </c>
      <c r="T107" s="2" t="s">
        <v>7</v>
      </c>
      <c r="U107" s="9">
        <f t="shared" si="17"/>
        <v>0.53200000000000003</v>
      </c>
      <c r="V107" s="2" t="s">
        <v>8</v>
      </c>
      <c r="W107" s="2" t="s">
        <v>9</v>
      </c>
      <c r="X107" s="10" t="str">
        <f t="shared" si="21"/>
        <v>Column_div2_L1000_N14_b6419_g4281_fi_600_lmd0.532_T160_162.5_mbs_ang_0_v5</v>
      </c>
      <c r="Y107" s="2" t="s">
        <v>10</v>
      </c>
    </row>
    <row r="108" spans="1:25" x14ac:dyDescent="0.25">
      <c r="A108" s="1" t="s">
        <v>0</v>
      </c>
      <c r="B108" s="1" t="s">
        <v>1</v>
      </c>
      <c r="C108" s="2">
        <v>1</v>
      </c>
      <c r="D108" s="3">
        <f t="shared" si="13"/>
        <v>1000</v>
      </c>
      <c r="E108" s="4">
        <f t="shared" si="14"/>
        <v>700</v>
      </c>
      <c r="F108" s="2" t="s">
        <v>2</v>
      </c>
      <c r="G108" s="5">
        <f t="shared" si="15"/>
        <v>1.3116000000000001</v>
      </c>
      <c r="H108" s="6">
        <f t="shared" si="16"/>
        <v>0</v>
      </c>
      <c r="I108" s="2" t="s">
        <v>3</v>
      </c>
      <c r="J108" s="17">
        <f t="shared" si="18"/>
        <v>14</v>
      </c>
      <c r="K108" s="2" t="s">
        <v>4</v>
      </c>
      <c r="L108" s="15">
        <f t="shared" si="19"/>
        <v>6419</v>
      </c>
      <c r="M108" s="15">
        <f t="shared" si="20"/>
        <v>4281</v>
      </c>
      <c r="N108" s="2" t="s">
        <v>5</v>
      </c>
      <c r="O108" s="2" t="s">
        <v>6</v>
      </c>
      <c r="P108" s="2">
        <v>162.5</v>
      </c>
      <c r="Q108" s="2">
        <v>165</v>
      </c>
      <c r="R108" s="18">
        <v>600</v>
      </c>
      <c r="S108" s="2">
        <v>5</v>
      </c>
      <c r="T108" s="2" t="s">
        <v>7</v>
      </c>
      <c r="U108" s="9">
        <f t="shared" si="17"/>
        <v>0.53200000000000003</v>
      </c>
      <c r="V108" s="2" t="s">
        <v>8</v>
      </c>
      <c r="W108" s="2" t="s">
        <v>9</v>
      </c>
      <c r="X108" s="10" t="str">
        <f t="shared" si="21"/>
        <v>Column_div2_L1000_N14_b6419_g4281_fi_600_lmd0.532_T162.5_165_mbs_ang_0_v5</v>
      </c>
      <c r="Y108" s="2" t="s">
        <v>10</v>
      </c>
    </row>
    <row r="109" spans="1:25" x14ac:dyDescent="0.25">
      <c r="A109" s="1" t="s">
        <v>0</v>
      </c>
      <c r="B109" s="1" t="s">
        <v>1</v>
      </c>
      <c r="C109" s="2">
        <v>1</v>
      </c>
      <c r="D109" s="3">
        <f t="shared" si="13"/>
        <v>1000</v>
      </c>
      <c r="E109" s="4">
        <f t="shared" si="14"/>
        <v>700</v>
      </c>
      <c r="F109" s="2" t="s">
        <v>2</v>
      </c>
      <c r="G109" s="5">
        <f t="shared" si="15"/>
        <v>1.3116000000000001</v>
      </c>
      <c r="H109" s="6">
        <f t="shared" si="16"/>
        <v>0</v>
      </c>
      <c r="I109" s="2" t="s">
        <v>3</v>
      </c>
      <c r="J109" s="17">
        <f t="shared" si="18"/>
        <v>14</v>
      </c>
      <c r="K109" s="2" t="s">
        <v>4</v>
      </c>
      <c r="L109" s="15">
        <f t="shared" si="19"/>
        <v>6419</v>
      </c>
      <c r="M109" s="15">
        <f t="shared" si="20"/>
        <v>4281</v>
      </c>
      <c r="N109" s="2" t="s">
        <v>5</v>
      </c>
      <c r="O109" s="2" t="s">
        <v>6</v>
      </c>
      <c r="P109" s="2">
        <v>165</v>
      </c>
      <c r="Q109" s="2">
        <v>167.5</v>
      </c>
      <c r="R109" s="18">
        <v>600</v>
      </c>
      <c r="S109" s="2">
        <v>5</v>
      </c>
      <c r="T109" s="2" t="s">
        <v>7</v>
      </c>
      <c r="U109" s="9">
        <f t="shared" si="17"/>
        <v>0.53200000000000003</v>
      </c>
      <c r="V109" s="2" t="s">
        <v>8</v>
      </c>
      <c r="W109" s="2" t="s">
        <v>9</v>
      </c>
      <c r="X109" s="10" t="str">
        <f t="shared" si="21"/>
        <v>Column_div2_L1000_N14_b6419_g4281_fi_600_lmd0.532_T165_167.5_mbs_ang_0_v5</v>
      </c>
      <c r="Y109" s="2" t="s">
        <v>10</v>
      </c>
    </row>
    <row r="110" spans="1:25" x14ac:dyDescent="0.25">
      <c r="A110" s="1" t="s">
        <v>0</v>
      </c>
      <c r="B110" s="1" t="s">
        <v>1</v>
      </c>
      <c r="C110" s="2">
        <v>1</v>
      </c>
      <c r="D110" s="3">
        <f t="shared" si="13"/>
        <v>1000</v>
      </c>
      <c r="E110" s="4">
        <f t="shared" si="14"/>
        <v>700</v>
      </c>
      <c r="F110" s="2" t="s">
        <v>2</v>
      </c>
      <c r="G110" s="5">
        <f t="shared" si="15"/>
        <v>1.3116000000000001</v>
      </c>
      <c r="H110" s="6">
        <f t="shared" si="16"/>
        <v>0</v>
      </c>
      <c r="I110" s="2" t="s">
        <v>3</v>
      </c>
      <c r="J110" s="17">
        <f t="shared" si="18"/>
        <v>14</v>
      </c>
      <c r="K110" s="2" t="s">
        <v>4</v>
      </c>
      <c r="L110" s="15">
        <f t="shared" si="19"/>
        <v>6419</v>
      </c>
      <c r="M110" s="15">
        <f t="shared" si="20"/>
        <v>4281</v>
      </c>
      <c r="N110" s="2" t="s">
        <v>5</v>
      </c>
      <c r="O110" s="2" t="s">
        <v>6</v>
      </c>
      <c r="P110" s="2">
        <v>167.5</v>
      </c>
      <c r="Q110" s="2">
        <v>170</v>
      </c>
      <c r="R110" s="18">
        <v>600</v>
      </c>
      <c r="S110" s="2">
        <v>5</v>
      </c>
      <c r="T110" s="2" t="s">
        <v>7</v>
      </c>
      <c r="U110" s="9">
        <f t="shared" si="17"/>
        <v>0.53200000000000003</v>
      </c>
      <c r="V110" s="2" t="s">
        <v>8</v>
      </c>
      <c r="W110" s="2" t="s">
        <v>9</v>
      </c>
      <c r="X110" s="10" t="str">
        <f t="shared" si="21"/>
        <v>Column_div2_L1000_N14_b6419_g4281_fi_600_lmd0.532_T167.5_170_mbs_ang_0_v5</v>
      </c>
      <c r="Y110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2026-03-24T06:20:17Z</dcterms:modified>
</cp:coreProperties>
</file>